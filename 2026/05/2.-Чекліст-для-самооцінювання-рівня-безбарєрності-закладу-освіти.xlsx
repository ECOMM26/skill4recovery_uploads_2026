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4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5.xml" ContentType="application/vnd.openxmlformats-officedocument.themeOverrid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6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безбар'єрність\Фін тренінг\"/>
    </mc:Choice>
  </mc:AlternateContent>
  <xr:revisionPtr revIDLastSave="0" documentId="13_ncr:1_{10DDCB49-D017-42D5-97D3-33E292005DCA}" xr6:coauthVersionLast="47" xr6:coauthVersionMax="47" xr10:uidLastSave="{00000000-0000-0000-0000-000000000000}"/>
  <bookViews>
    <workbookView xWindow="720" yWindow="0" windowWidth="22320" windowHeight="12360" tabRatio="545" xr2:uid="{7B4FE528-C925-4C66-843C-79E8E96D38A2}"/>
  </bookViews>
  <sheets>
    <sheet name="1. Фізична доступність" sheetId="1" r:id="rId1"/>
    <sheet name="2. Доступність навч. матеріалів" sheetId="2" r:id="rId2"/>
    <sheet name="3. Інклюзивні методи навчання" sheetId="4" r:id="rId3"/>
    <sheet name="4. Комунікаційна доступність" sheetId="5" r:id="rId4"/>
    <sheet name="5. Адм. підтримка, політики" sheetId="6" r:id="rId5"/>
    <sheet name="6. Соціальна інклюзія" sheetId="7" r:id="rId6"/>
    <sheet name="Загальний результат" sheetId="8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6" l="1"/>
  <c r="L3" i="6" s="1"/>
  <c r="D6" i="8"/>
  <c r="E6" i="8"/>
  <c r="C6" i="8"/>
  <c r="G3" i="7"/>
  <c r="H3" i="7"/>
  <c r="G4" i="7"/>
  <c r="H4" i="7"/>
  <c r="G5" i="7"/>
  <c r="H5" i="7"/>
  <c r="G6" i="7"/>
  <c r="H6" i="7"/>
  <c r="G7" i="7"/>
  <c r="H7" i="7"/>
  <c r="E2" i="7"/>
  <c r="N3" i="7" s="1"/>
  <c r="D2" i="7"/>
  <c r="M3" i="7" s="1"/>
  <c r="C2" i="7"/>
  <c r="L3" i="7" s="1"/>
  <c r="G3" i="6"/>
  <c r="H3" i="6"/>
  <c r="G4" i="6"/>
  <c r="H4" i="6"/>
  <c r="G5" i="6"/>
  <c r="H5" i="6"/>
  <c r="G6" i="6"/>
  <c r="H6" i="6"/>
  <c r="G7" i="6"/>
  <c r="H7" i="6"/>
  <c r="G8" i="6"/>
  <c r="H8" i="6"/>
  <c r="N4" i="6" s="1"/>
  <c r="G9" i="6"/>
  <c r="H9" i="6"/>
  <c r="D2" i="6"/>
  <c r="M3" i="6" s="1"/>
  <c r="E2" i="6"/>
  <c r="N3" i="6" s="1"/>
  <c r="G3" i="5"/>
  <c r="H3" i="5"/>
  <c r="G4" i="5"/>
  <c r="M6" i="5" s="1"/>
  <c r="H4" i="5"/>
  <c r="G5" i="5"/>
  <c r="H5" i="5"/>
  <c r="G6" i="5"/>
  <c r="H6" i="5"/>
  <c r="E2" i="5"/>
  <c r="N3" i="5" s="1"/>
  <c r="D2" i="5"/>
  <c r="M3" i="5" s="1"/>
  <c r="C2" i="5"/>
  <c r="L3" i="5" s="1"/>
  <c r="C2" i="4"/>
  <c r="L3" i="4" s="1"/>
  <c r="G3" i="4"/>
  <c r="H3" i="4"/>
  <c r="G4" i="4"/>
  <c r="H4" i="4"/>
  <c r="N5" i="4" s="1"/>
  <c r="G5" i="4"/>
  <c r="H5" i="4"/>
  <c r="G6" i="4"/>
  <c r="H6" i="4"/>
  <c r="E2" i="4"/>
  <c r="N3" i="4" s="1"/>
  <c r="D2" i="4"/>
  <c r="M3" i="4" s="1"/>
  <c r="C2" i="2"/>
  <c r="L3" i="2" s="1"/>
  <c r="G3" i="2"/>
  <c r="H3" i="2"/>
  <c r="G4" i="2"/>
  <c r="H4" i="2"/>
  <c r="G5" i="2"/>
  <c r="H5" i="2"/>
  <c r="G6" i="2"/>
  <c r="H6" i="2"/>
  <c r="G7" i="2"/>
  <c r="H7" i="2"/>
  <c r="G8" i="2"/>
  <c r="H8" i="2"/>
  <c r="D2" i="2"/>
  <c r="M3" i="2" s="1"/>
  <c r="E2" i="2"/>
  <c r="N3" i="2" s="1"/>
  <c r="N79" i="1"/>
  <c r="M79" i="1"/>
  <c r="L79" i="1"/>
  <c r="N70" i="1"/>
  <c r="M70" i="1"/>
  <c r="L70" i="1"/>
  <c r="N58" i="1"/>
  <c r="M58" i="1"/>
  <c r="L58" i="1"/>
  <c r="N45" i="1"/>
  <c r="M45" i="1"/>
  <c r="L45" i="1"/>
  <c r="H7" i="1"/>
  <c r="M21" i="1"/>
  <c r="L21" i="1"/>
  <c r="N21" i="1"/>
  <c r="N9" i="1"/>
  <c r="M9" i="1"/>
  <c r="L9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M48" i="1" s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17" i="1"/>
  <c r="I17" i="1"/>
  <c r="H18" i="1"/>
  <c r="I18" i="1"/>
  <c r="H19" i="1"/>
  <c r="M24" i="1" s="1"/>
  <c r="I19" i="1"/>
  <c r="N24" i="1" s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4" i="1"/>
  <c r="I4" i="1"/>
  <c r="H5" i="1"/>
  <c r="I5" i="1"/>
  <c r="H6" i="1"/>
  <c r="I6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E90" i="1"/>
  <c r="F90" i="1"/>
  <c r="D90" i="1"/>
  <c r="F7" i="7"/>
  <c r="F6" i="7"/>
  <c r="F5" i="5"/>
  <c r="F5" i="7"/>
  <c r="L5" i="7" s="1"/>
  <c r="F4" i="7"/>
  <c r="F3" i="7"/>
  <c r="F4" i="6"/>
  <c r="F5" i="6"/>
  <c r="F6" i="6"/>
  <c r="F7" i="6"/>
  <c r="F8" i="6"/>
  <c r="F9" i="6"/>
  <c r="F3" i="6"/>
  <c r="F4" i="5"/>
  <c r="L4" i="5" s="1"/>
  <c r="F6" i="5"/>
  <c r="F3" i="5"/>
  <c r="F5" i="4"/>
  <c r="F6" i="4"/>
  <c r="F4" i="4"/>
  <c r="F3" i="4"/>
  <c r="F6" i="2"/>
  <c r="F7" i="2"/>
  <c r="F4" i="2"/>
  <c r="F5" i="2"/>
  <c r="F8" i="2"/>
  <c r="F3" i="2"/>
  <c r="G85" i="1"/>
  <c r="G84" i="1"/>
  <c r="G83" i="1"/>
  <c r="G82" i="1"/>
  <c r="G81" i="1"/>
  <c r="G80" i="1"/>
  <c r="G79" i="1"/>
  <c r="G78" i="1"/>
  <c r="G77" i="1"/>
  <c r="G76" i="1"/>
  <c r="G74" i="1"/>
  <c r="G73" i="1"/>
  <c r="G72" i="1"/>
  <c r="G71" i="1"/>
  <c r="G70" i="1"/>
  <c r="G69" i="1"/>
  <c r="G68" i="1"/>
  <c r="G66" i="1"/>
  <c r="G65" i="1"/>
  <c r="G64" i="1"/>
  <c r="G63" i="1"/>
  <c r="G62" i="1"/>
  <c r="G61" i="1"/>
  <c r="G60" i="1"/>
  <c r="G59" i="1"/>
  <c r="G58" i="1"/>
  <c r="G57" i="1"/>
  <c r="G56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5" i="1"/>
  <c r="G14" i="1"/>
  <c r="G13" i="1"/>
  <c r="G12" i="1"/>
  <c r="G11" i="1"/>
  <c r="G10" i="1"/>
  <c r="G9" i="1"/>
  <c r="G8" i="1"/>
  <c r="G7" i="1"/>
  <c r="G6" i="1"/>
  <c r="G5" i="1"/>
  <c r="G4" i="1"/>
  <c r="L72" i="1" l="1"/>
  <c r="M4" i="7"/>
  <c r="N6" i="2"/>
  <c r="N12" i="1"/>
  <c r="L48" i="1"/>
  <c r="M5" i="7"/>
  <c r="M6" i="7"/>
  <c r="N4" i="7"/>
  <c r="N5" i="7"/>
  <c r="N6" i="7"/>
  <c r="M4" i="6"/>
  <c r="N6" i="6"/>
  <c r="N5" i="6"/>
  <c r="M5" i="6"/>
  <c r="M6" i="6"/>
  <c r="L5" i="6"/>
  <c r="M4" i="5"/>
  <c r="N5" i="5"/>
  <c r="N4" i="5"/>
  <c r="M5" i="5"/>
  <c r="N6" i="5"/>
  <c r="L4" i="4"/>
  <c r="M6" i="4"/>
  <c r="M5" i="4"/>
  <c r="M4" i="4"/>
  <c r="N4" i="4"/>
  <c r="N6" i="4"/>
  <c r="N5" i="2"/>
  <c r="M4" i="2"/>
  <c r="M6" i="2"/>
  <c r="M5" i="2"/>
  <c r="N4" i="2"/>
  <c r="N72" i="1"/>
  <c r="M72" i="1"/>
  <c r="N73" i="1"/>
  <c r="M73" i="1"/>
  <c r="L73" i="1"/>
  <c r="N82" i="1"/>
  <c r="N80" i="1"/>
  <c r="N81" i="1"/>
  <c r="L82" i="1"/>
  <c r="M82" i="1"/>
  <c r="M81" i="1"/>
  <c r="M80" i="1"/>
  <c r="L81" i="1"/>
  <c r="L80" i="1"/>
  <c r="L71" i="1"/>
  <c r="N71" i="1"/>
  <c r="M71" i="1"/>
  <c r="M61" i="1"/>
  <c r="N61" i="1"/>
  <c r="L61" i="1"/>
  <c r="L59" i="1"/>
  <c r="L60" i="1"/>
  <c r="M60" i="1"/>
  <c r="M59" i="1"/>
  <c r="N59" i="1"/>
  <c r="N60" i="1"/>
  <c r="N47" i="1"/>
  <c r="L47" i="1"/>
  <c r="L46" i="1"/>
  <c r="M47" i="1"/>
  <c r="M46" i="1"/>
  <c r="N46" i="1"/>
  <c r="N48" i="1"/>
  <c r="N22" i="1"/>
  <c r="N23" i="1"/>
  <c r="M23" i="1"/>
  <c r="M22" i="1"/>
  <c r="L23" i="1"/>
  <c r="L22" i="1"/>
  <c r="L24" i="1"/>
  <c r="L12" i="1"/>
  <c r="L11" i="1"/>
  <c r="D91" i="1"/>
  <c r="L10" i="1"/>
  <c r="N11" i="1"/>
  <c r="N10" i="1"/>
  <c r="M12" i="1"/>
  <c r="M11" i="1"/>
  <c r="M10" i="1"/>
  <c r="F91" i="1"/>
  <c r="E93" i="1"/>
  <c r="E91" i="1"/>
  <c r="E92" i="1"/>
  <c r="F92" i="1"/>
  <c r="F93" i="1"/>
  <c r="L6" i="7"/>
  <c r="L4" i="7"/>
  <c r="L6" i="6"/>
  <c r="L4" i="6"/>
  <c r="L6" i="4"/>
  <c r="L6" i="5"/>
  <c r="L5" i="5"/>
  <c r="L5" i="4"/>
  <c r="L4" i="2"/>
  <c r="D93" i="1"/>
  <c r="D92" i="1"/>
  <c r="L5" i="2"/>
  <c r="L6" i="2"/>
  <c r="E8" i="8" l="1"/>
  <c r="E7" i="8"/>
  <c r="E9" i="8"/>
  <c r="C8" i="8"/>
  <c r="C9" i="8"/>
  <c r="D9" i="8"/>
  <c r="D7" i="8"/>
  <c r="D8" i="8"/>
  <c r="C7" i="8"/>
</calcChain>
</file>

<file path=xl/sharedStrings.xml><?xml version="1.0" encoding="utf-8"?>
<sst xmlns="http://schemas.openxmlformats.org/spreadsheetml/2006/main" count="234" uniqueCount="156">
  <si>
    <t>Паркування</t>
  </si>
  <si>
    <t>Розташування до 50 м до головного входу (до доступного входу)</t>
  </si>
  <si>
    <t>Розмір паркувального місця: 
-        ширина 3,5 м;
-        довжина 6 м</t>
  </si>
  <si>
    <t xml:space="preserve">Наявна горизонтальна та вертикальна розмітка </t>
  </si>
  <si>
    <t>Так</t>
  </si>
  <si>
    <t>Ні</t>
  </si>
  <si>
    <t>Виконано</t>
  </si>
  <si>
    <t>Не виконано</t>
  </si>
  <si>
    <t>Частково виконано</t>
  </si>
  <si>
    <t>Поточна динаміка</t>
  </si>
  <si>
    <t>1. Доступ до будівлі ззовні (зовнішнє середовище)</t>
  </si>
  <si>
    <t>Таких місць є від 10% від загальної кількості, але не менше одного</t>
  </si>
  <si>
    <t>Ширина входу на прилеглу територію та ширина дверей, хвірток (за наявності) становить не менше ніж 0,9 метра у просвіті</t>
  </si>
  <si>
    <t>Ширина пішохідних доріжок із зустрічним рухом по всій довжині становить не менше ніж 1,8 метра</t>
  </si>
  <si>
    <t xml:space="preserve">Покриття пішохідних доріжок, тротуарів та пандусів є рівним, без вибоїн </t>
  </si>
  <si>
    <t>Покриття пішохідних доріжок, тротуарів і пандусів не містить насипних або крупноструктурних матеріалів</t>
  </si>
  <si>
    <t xml:space="preserve">У місцях перетину пішохідні доріжки розташовані на одному рівні та не мають перешкод </t>
  </si>
  <si>
    <t xml:space="preserve">У темну пору доби наявне вуличне штучне освітлення шляхів руху </t>
  </si>
  <si>
    <t>На шляхах руху відсутні сходи або, у разі їх наявності, забезпечено альтернативні засоби доступу (пандус, підіймальні платформи, підйомники тощо).</t>
  </si>
  <si>
    <t>Перед небезпечними перешкодами для осіб з порушенням зору, а також паралельно до сходів, перед і після сходового маршу влаштовано попереджувальну тактильну смугу.</t>
  </si>
  <si>
    <t xml:space="preserve">Шлях руху ззовні </t>
  </si>
  <si>
    <t>2. Вхідна зона та вхід у будівлю</t>
  </si>
  <si>
    <t>Простір перед вхідною групою (двері, пандус, сходи) є рівним та без пошкоджень покриття (ям, збитої плитки тощо).</t>
  </si>
  <si>
    <t>Простір перед вхідною групою є рівним та вільним від перешкод і перепадів висот.</t>
  </si>
  <si>
    <t>Перед вхідною групою передбачено вільну горизонтальну площину розміром не менше ніж 1,5 × 1,5 м.</t>
  </si>
  <si>
    <t>а) Якщо вхід в рівень</t>
  </si>
  <si>
    <t>Відсутні пороги.
Якщо вони є – вони нівельовані пологим спуском з кутом нахилу до 4,6 градуса (8%).</t>
  </si>
  <si>
    <t xml:space="preserve">б) Якщо наявний пандус </t>
  </si>
  <si>
    <t>Нахил пандусу становить менш ніж 8 % (на 1 метр довжини по горизонтальній площині не більше ніж 8 сантиметрів підйому)</t>
  </si>
  <si>
    <t>Якщо пандус понад 10 метрів: На пандусі мають бути спеціальні майданчики для відпочинку розміром не менше 1,5 × 1,5 м. Вони розміщуються після кожних 0,8 м підйому, тобто приблизно через кожні 10 метрів довжини пандуса.</t>
  </si>
  <si>
    <t xml:space="preserve">Пандуси та сходи обладнані поручнями з обох боків; поручні розміщені на двох рівнях (0,7 м і 0,9 м) і мають горизонтальне продовження 0,3 м зверху та знизу. </t>
  </si>
  <si>
    <t>У межах одного сходового маршу всі сходинки однакові за формою, шириною та висотою підйому.</t>
  </si>
  <si>
    <t>Пандус забезпечує не менше 1,2 м вільного простору для пересування.</t>
  </si>
  <si>
    <t>Матеріал пандуса неслизький</t>
  </si>
  <si>
    <t xml:space="preserve">в) Якщо наявний підйомник </t>
  </si>
  <si>
    <t>Він справний і людина може ним скористатись.</t>
  </si>
  <si>
    <t>Сходи
(оцінюємо тільки у разі, якщо є підйомник або пандус)</t>
  </si>
  <si>
    <t>Однаковий розмір всіх сходинок</t>
  </si>
  <si>
    <t>Перша та остання сходинки контрастно промарковані по всій ширині:
• на вертикальній поверхні — смугою шириною не менше 5 см;
• на горизонтальній поверхні — смугою шириною не менше 10 см.</t>
  </si>
  <si>
    <t>Поручні сходів установлюються на двох рівнях: 0,7 м і 0,9 м.</t>
  </si>
  <si>
    <t>Вхід в будівлю</t>
  </si>
  <si>
    <t xml:space="preserve">Ширина усіх функціональних дверних отворів становить не менше ніж 0,9 м у просвіті. </t>
  </si>
  <si>
    <t>На вході відсутні перепади висоти підлоги.</t>
  </si>
  <si>
    <t>На вході не використовуються решітки для витирання ніг із отворами понад 1,5 см або з рівнем, що не збігається з рівнем підлоги.</t>
  </si>
  <si>
    <t>Майданчик перед входом, а також пандус, сходи та підіймальні пристрої для осіб з інвалідністю захищені від атмосферних опадів навісом.</t>
  </si>
  <si>
    <t>Вхідні двері</t>
  </si>
  <si>
    <t xml:space="preserve">Якщо наявні скляні двері – вони контрастно промарковані на висоті 1,2-1,5 м. </t>
  </si>
  <si>
    <t>Двері облаштовані пристосуванням для фіксації дверних стулок у положенні “відчинено” не менше, ніж на 5 секунд.</t>
  </si>
  <si>
    <t>Тамбури</t>
  </si>
  <si>
    <t>Турнікети</t>
  </si>
  <si>
    <t>За наявності тамбуру: Глибина тамбурів становить не менше ніж 1,8 метра, ширина — не менше ніж 2,2 метра</t>
  </si>
  <si>
    <t>Прохід без турнікета, або за наявності турнікета – його ширина проходу у просвіті становить не менше ніж 1 метр</t>
  </si>
  <si>
    <t>3. Інформація та орієнтування (на вході)</t>
  </si>
  <si>
    <t>Інформаційна табличка</t>
  </si>
  <si>
    <t>Зовнішня інформаційна табличка: наявна</t>
  </si>
  <si>
    <t>За умови наявності інформаційної таблички:</t>
  </si>
  <si>
    <t>Містить інформацію про назву та адресу навчального закладу, режим роботи</t>
  </si>
  <si>
    <t>Виконана контрастно, з дублюванням шрифтом Брайля</t>
  </si>
  <si>
    <t>Висота розміщення: 1,2–1,5 м.</t>
  </si>
  <si>
    <t>Розташування: праворуч від дверей</t>
  </si>
  <si>
    <t>Тактильні смуги</t>
  </si>
  <si>
    <t>Попереджувальна тактильна смуга: наявна</t>
  </si>
  <si>
    <t>За умови наявності тактильної смуги:</t>
  </si>
  <si>
    <t>Розташування: перед дверима / пандусом / сходами</t>
  </si>
  <si>
    <t>Ширина: 0,4–0,6 м.</t>
  </si>
  <si>
    <t>Відстань до перешкоди: 0,2–0,8 м.</t>
  </si>
  <si>
    <t>Орієнтація: паралельно перешкоді, по всій ширині.</t>
  </si>
  <si>
    <t>Навігація</t>
  </si>
  <si>
    <t>На вході/виході встановлено план-схему будівлі з інформацією про розташування приміщень, у яких надаються послуги, на висоті 1,2–1,6 м від підлоги</t>
  </si>
  <si>
    <t>У приміщенні встановлено мнемосхему шляхів руху з дублюванням шрифтом Брайля, нахилену під кутом 20–30° та розміщену на висоті 0,9 м від підлоги.</t>
  </si>
  <si>
    <t>Інформаційна стійка</t>
  </si>
  <si>
    <t>Висота інформаційної стійки має бути 74-80 см.
Простір під інформаційною стійкою забезпечує зручний підхід: висота — 68,5–69 см, глибина — не менше ніж 48 см.
Інша сторона стійки має висоту 95–111 см.</t>
  </si>
  <si>
    <t>Інформаційна зона</t>
  </si>
  <si>
    <t>Розміщена на висоті 1,2-1,5 м.</t>
  </si>
  <si>
    <t>4. Шляхи руху всередині будівлі (горизонтальні)</t>
  </si>
  <si>
    <t>Простір всередині
(шляхи руху)</t>
  </si>
  <si>
    <t>У приміщенні немає порогів або вони компенсовані пологим спуском шириною від 1,2 м з нахилом до 8 %.</t>
  </si>
  <si>
    <t>Пороги, колони та інші об’єкти й перешкоди, небезпечні для осіб з порушенням зору, мають візуальний контраст; у разі його відсутності на них нанесено контрастне кольорове маркування.</t>
  </si>
  <si>
    <t>Проходи</t>
  </si>
  <si>
    <t>Ширина вільного від перешкод шляху руху в коридорах, приміщеннях, майстернях становить не менше ніж 1,8 метра — за умови зустрічного руху</t>
  </si>
  <si>
    <t>Ширина проходів у приміщенні з обладнанням і меблями становить не менше ніж 1,2 м.</t>
  </si>
  <si>
    <t>Висота столів, стійок і пониженої секції рецепції — 0,74–0,8 м, з вільним простором під стільницею не менше ніж 0,7 м у висоту та 0,48 м у глибину.</t>
  </si>
  <si>
    <t>Двері всередині будівлі</t>
  </si>
  <si>
    <t>Двері мають візуальний контраст; у разі використання прозорих дверних (фасадних) конструкцій на них нанесено контрастне кольорове маркування на висоті 1,2–1,5 м.</t>
  </si>
  <si>
    <t>Ширина дверних отворів становить не менше ніж 0,9 м у просвіті.</t>
  </si>
  <si>
    <t>Колони/балки</t>
  </si>
  <si>
    <t>Усі колони контрастно позначені по всій довжині смугою шириною не менше ніж 0,1 м на висоті 1,2–1,5 м та не мають гострих виступаючих частин, що можуть спричинити травмування.</t>
  </si>
  <si>
    <t>Світло</t>
  </si>
  <si>
    <t>Рівень освітлення забезпечує безпечний прохід у коридорах і приміщеннях, зокрема на сходах, та сприяє орієнтуванню.</t>
  </si>
  <si>
    <t>Шляхи евакуації</t>
  </si>
  <si>
    <t>Шляхи евакуації та інформація про них є доступними для осіб з інвалідністю: широкі проходи (від 1,2 м), в разі наявності сходів – вони продублювані пандусами, ширина проходу у дверях від 0,9 м</t>
  </si>
  <si>
    <t>Пристрої сповіщення про надзвичайну ситуацію адаптовані для сприйняття особами з інвалідністю: інформація має бути у візуальному та аудіальному форматах.</t>
  </si>
  <si>
    <t>5. Санітарно-гігієнічні приміщення</t>
  </si>
  <si>
    <t>Вбиральня</t>
  </si>
  <si>
    <t>Наявна універсальна вбиральня</t>
  </si>
  <si>
    <t>Розмір універсальної кабінки: 1,8 м на 1,65 м</t>
  </si>
  <si>
    <t>Поручні встановлено з обох боків унітазу на висоті 0,6 м та 0,8 м від підлоги; допускається виконання одного поручня стаціонарним (на висоті 0,8 м), іншого - відкидним.</t>
  </si>
  <si>
    <t>Гачок для одягу, милиць, ціпка: наявний</t>
  </si>
  <si>
    <t>Сходи</t>
  </si>
  <si>
    <t>Перша та остання сходинки мають контрастне кольорове маркування:
• на горизонтальній поверхні — шириною не менше 10 см;
• на вертикальній поверхні — не менше 5 см.</t>
  </si>
  <si>
    <t>Ліфт</t>
  </si>
  <si>
    <t>Наявний справний ліфт, яким людина може скористатися</t>
  </si>
  <si>
    <t>Висота розташування зовнішніх і внутрішніх кнопок керування ліфтом становить 85–110 см від підлоги.</t>
  </si>
  <si>
    <t>Процес відкриття/закриття дверей ліфта супроводжується звуковим сигналом і голосовим повідомленням про номер поверху</t>
  </si>
  <si>
    <t>Під час зупинки ліфта рівень підлоги кабіни залишається врівень із підлогою поверху; допускається відхилення не більше ніж 2 см.</t>
  </si>
  <si>
    <t>Номери поверхів на кнопках ліфта подані збільшеним шрифтом у контрастному кольоровому виконанні та продубльовані в тактильному вигляді і шрифтом Брайля.</t>
  </si>
  <si>
    <t>Позначення номера поверху розміщене на стіні, що знаходиться безпосередньо напроти дверей ліфта, у полі прямої видимості при виході з ліфта.</t>
  </si>
  <si>
    <t>Ширина дверей ліфта у просвіті становить не менше ніж 0,9 м; ширина кабіни — не менше ніж 1,1 м, глибина кабіни — не менше ніж 1,4 м.</t>
  </si>
  <si>
    <t>Забезпечено можливість для надання послуги маломобільним групам населення на 1-му поверсі</t>
  </si>
  <si>
    <t>Столбец1</t>
  </si>
  <si>
    <t>У разі відсутності ліфта:</t>
  </si>
  <si>
    <t>За наявності ліфта:</t>
  </si>
  <si>
    <t>Є підручники у цифровому або адаптованому форматі</t>
  </si>
  <si>
    <t>Є навчальні матеріали зі шрифтом Брайля / великим шрифтом</t>
  </si>
  <si>
    <t>Навчальні відео мають субтитри / жестовий переклад</t>
  </si>
  <si>
    <t>Можливе використання зчитувача з екрану (скрінрідерів)</t>
  </si>
  <si>
    <t>Доступні альтернативні форми завдань і тестування</t>
  </si>
  <si>
    <t>Можливість розробити індивідуальний графік навчання</t>
  </si>
  <si>
    <t>Зовсім немає</t>
  </si>
  <si>
    <t>Наявні частково</t>
  </si>
  <si>
    <t>Наявні повною мірою</t>
  </si>
  <si>
    <t>Є індивідуальні навчальні плани для студентів з ООП</t>
  </si>
  <si>
    <t>Викладачі мають підготовку з інклюзивної освіти</t>
  </si>
  <si>
    <t>Заклад має асистентів учня/учениці або супровідників</t>
  </si>
  <si>
    <t>Психологічна підтримка доступна за запитом</t>
  </si>
  <si>
    <t>Інформація надається з урахуванням індивідуальних потреб осіб з інвалідністю шляхом використання письмового, усного та жестового форматів інформування.</t>
  </si>
  <si>
    <t>Вебсайт закладу відповідає вимогам WCAG: контент є сприйнятним, зрозумілим і керованим для користувачів з інвалідністю.</t>
  </si>
  <si>
    <t>Контент у соціальних мережах подається простою мовою, з альтернативним текстом до зображень і маркованими списками.</t>
  </si>
  <si>
    <t>Вивіски й навігація виконані з урахуванням доступності (контраст, Брайль, піктограми).</t>
  </si>
  <si>
    <t>Так, повною мірою</t>
  </si>
  <si>
    <t>Так, частково</t>
  </si>
  <si>
    <t>У закладі є політика інклюзії та рівного доступу</t>
  </si>
  <si>
    <t>Призначено відповідального за інклюзивність / доступність</t>
  </si>
  <si>
    <t>Заклад співпрацює з фахівцями або ГО, що працюють з людьми з інвалідністю</t>
  </si>
  <si>
    <t>Інклюзивність враховується під час планування бюджету та закупівель.</t>
  </si>
  <si>
    <t>Розроблено та затверджено план заходів з підвищення доступності.</t>
  </si>
  <si>
    <t>Працівники проходять регулярне навчання з питань інклюзії та взаємодії з людьми з інвалідністю.</t>
  </si>
  <si>
    <t>Регулярно проводиться оцінка рівня доступності закладу.</t>
  </si>
  <si>
    <t>Проводяться інформаційні або просвітницькі заходи з теми інклюзії, протидії дискримінації та булінгу</t>
  </si>
  <si>
    <t>Наявний механізм подання звернень і скарг щодо доступності (онлайн / офлайн).</t>
  </si>
  <si>
    <t>Зворотний зв’язок від осіб з інвалідністю враховується під час ухвалення рішень щодо доступності закладу.</t>
  </si>
  <si>
    <t>Гуртки, секції та події враховують потреби різних категорій студентів/учнів</t>
  </si>
  <si>
    <t>Екскурсії, поїздки та позакласні заходи адаптуються з урахуванням потреб учнів/студентів та персоналу з інвалідністю: продумані зупинки, доступні простори наявність універсальних вбиралень тощо</t>
  </si>
  <si>
    <t>Оцінювання - ДАТА 3</t>
  </si>
  <si>
    <t>Оцінювання - ДАТА 2</t>
  </si>
  <si>
    <t>Поточна динаміка по розділу</t>
  </si>
  <si>
    <t>Показник</t>
  </si>
  <si>
    <t>Розділ</t>
  </si>
  <si>
    <r>
      <rPr>
        <b/>
        <sz val="11"/>
        <color theme="1"/>
        <rFont val="Calibri"/>
        <family val="2"/>
        <charset val="238"/>
      </rPr>
      <t xml:space="preserve">Вхідна група: </t>
    </r>
    <r>
      <rPr>
        <sz val="11"/>
        <color theme="1"/>
        <rFont val="Calibri"/>
        <family val="2"/>
        <charset val="238"/>
      </rPr>
      <t xml:space="preserve">
Далі обрати один з трьох варіантів а) б) чи в)</t>
    </r>
  </si>
  <si>
    <r>
      <t xml:space="preserve">Шляхи руху оснащені засобами орієнтування та інформування для осіб з порушенням слуху, що відповідають вимогам державних стандартів </t>
    </r>
    <r>
      <rPr>
        <i/>
        <sz val="11"/>
        <color theme="1"/>
        <rFont val="Calibri"/>
        <family val="2"/>
        <charset val="238"/>
      </rPr>
      <t>(інформаційні термінали, екрани, табло з рухомим рядком, текстові та відеоповідомлення, переклад жестовою мовою, персональні пристрої для підсилення звуку тощо)</t>
    </r>
    <r>
      <rPr>
        <sz val="11"/>
        <color theme="1"/>
        <rFont val="Calibri"/>
        <family val="2"/>
        <charset val="238"/>
      </rPr>
      <t>.</t>
    </r>
  </si>
  <si>
    <r>
      <rPr>
        <b/>
        <sz val="11"/>
        <color theme="1"/>
        <rFont val="Calibri"/>
        <family val="2"/>
        <charset val="238"/>
      </rPr>
      <t>Якщо є дзеркало:</t>
    </r>
    <r>
      <rPr>
        <sz val="11"/>
        <color theme="1"/>
        <rFont val="Calibri"/>
        <family val="2"/>
        <charset val="238"/>
      </rPr>
      <t xml:space="preserve"> Його нижня межа розташована на висоті 0,85-0.9 м</t>
    </r>
  </si>
  <si>
    <r>
      <rPr>
        <b/>
        <sz val="11"/>
        <color theme="1"/>
        <rFont val="Calibri"/>
        <family val="2"/>
        <charset val="238"/>
      </rPr>
      <t>Якщо є гачок для одягу, милиць, ціпка:</t>
    </r>
    <r>
      <rPr>
        <sz val="11"/>
        <color theme="1"/>
        <rFont val="Calibri"/>
        <family val="2"/>
        <charset val="238"/>
      </rPr>
      <t xml:space="preserve"> Він розташований біля унітазу, на висоті 1,3 м від підлоги</t>
    </r>
  </si>
  <si>
    <r>
      <rPr>
        <b/>
        <sz val="11"/>
        <color theme="1"/>
        <rFont val="Calibri"/>
        <family val="2"/>
        <charset val="238"/>
      </rPr>
      <t>Якщо є сушарка та/або диспенсер для мила:</t>
    </r>
    <r>
      <rPr>
        <sz val="11"/>
        <color theme="1"/>
        <rFont val="Calibri"/>
        <family val="2"/>
        <charset val="238"/>
      </rPr>
      <t xml:space="preserve"> Розташування на висоті до 1-1,2 м</t>
    </r>
  </si>
  <si>
    <t>Загальний результат</t>
  </si>
  <si>
    <t>6. Шляхи руху всередині будівлі (вертикальні) 
(застосовується тільки для будівель та споруд заввишки 2 поверхи і більше):</t>
  </si>
  <si>
    <t>Оцінювання - ДАТА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</si>
</sst>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1"/>
      <name val="Calibri Light"/>
      <family val="2"/>
      <charset val="238"/>
    </font>
    <font>
      <b/>
      <sz val="11"/>
      <color theme="0"/>
      <name val="Calibri Light"/>
      <family val="2"/>
      <charset val="238"/>
    </font>
    <font>
      <b/>
      <sz val="11"/>
      <color theme="1"/>
      <name val="Calibri"/>
      <family val="2"/>
      <charset val="238"/>
    </font>
    <font>
      <sz val="11"/>
      <color theme="1"/>
      <name val="Calibri"/>
      <family val="2"/>
      <charset val="238"/>
    </font>
    <font>
      <b/>
      <sz val="11"/>
      <color theme="0"/>
      <name val="Calibri"/>
      <family val="2"/>
      <charset val="238"/>
    </font>
    <font>
      <i/>
      <sz val="11"/>
      <color theme="1"/>
      <name val="Calibri"/>
      <family val="2"/>
      <charset val="238"/>
    </font>
    <font>
      <b/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38"/>
    </font>
    <font>
      <b/>
      <sz val="11"/>
      <color theme="1"/>
      <name val="Calibri"/>
      <family val="2"/>
      <charset val="204"/>
    </font>
    <font>
      <b/>
      <sz val="14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0" borderId="20" xfId="0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2" borderId="20" xfId="0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1" fillId="3" borderId="27" xfId="0" applyFont="1" applyFill="1" applyBorder="1"/>
    <xf numFmtId="0" fontId="1" fillId="3" borderId="28" xfId="0" applyFont="1" applyFill="1" applyBorder="1"/>
    <xf numFmtId="0" fontId="0" fillId="4" borderId="27" xfId="0" applyFill="1" applyBorder="1"/>
    <xf numFmtId="0" fontId="0" fillId="4" borderId="28" xfId="0" applyFill="1" applyBorder="1"/>
    <xf numFmtId="0" fontId="0" fillId="0" borderId="29" xfId="0" applyBorder="1"/>
    <xf numFmtId="0" fontId="0" fillId="0" borderId="28" xfId="0" applyBorder="1"/>
    <xf numFmtId="0" fontId="0" fillId="4" borderId="30" xfId="0" applyFill="1" applyBorder="1"/>
    <xf numFmtId="0" fontId="0" fillId="4" borderId="4" xfId="0" applyFill="1" applyBorder="1"/>
    <xf numFmtId="0" fontId="0" fillId="0" borderId="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3" borderId="17" xfId="0" applyFont="1" applyFill="1" applyBorder="1"/>
    <xf numFmtId="0" fontId="3" fillId="0" borderId="0" xfId="0" applyFont="1"/>
    <xf numFmtId="0" fontId="4" fillId="3" borderId="27" xfId="0" applyFont="1" applyFill="1" applyBorder="1"/>
    <xf numFmtId="0" fontId="4" fillId="3" borderId="28" xfId="0" applyFont="1" applyFill="1" applyBorder="1"/>
    <xf numFmtId="0" fontId="3" fillId="4" borderId="27" xfId="0" applyFont="1" applyFill="1" applyBorder="1"/>
    <xf numFmtId="0" fontId="3" fillId="4" borderId="28" xfId="0" applyFont="1" applyFill="1" applyBorder="1"/>
    <xf numFmtId="0" fontId="3" fillId="0" borderId="29" xfId="0" applyFont="1" applyBorder="1"/>
    <xf numFmtId="0" fontId="3" fillId="0" borderId="28" xfId="0" applyFont="1" applyBorder="1"/>
    <xf numFmtId="0" fontId="3" fillId="4" borderId="30" xfId="0" applyFont="1" applyFill="1" applyBorder="1"/>
    <xf numFmtId="0" fontId="3" fillId="4" borderId="4" xfId="0" applyFont="1" applyFill="1" applyBorder="1"/>
    <xf numFmtId="0" fontId="0" fillId="0" borderId="22" xfId="0" applyBorder="1" applyAlignment="1">
      <alignment horizontal="center"/>
    </xf>
    <xf numFmtId="0" fontId="0" fillId="4" borderId="1" xfId="0" applyFill="1" applyBorder="1"/>
    <xf numFmtId="0" fontId="0" fillId="0" borderId="1" xfId="0" applyBorder="1"/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6" fillId="0" borderId="22" xfId="0" applyFont="1" applyBorder="1" applyAlignment="1">
      <alignment horizontal="center"/>
    </xf>
    <xf numFmtId="0" fontId="6" fillId="0" borderId="0" xfId="0" applyFont="1"/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/>
    </xf>
    <xf numFmtId="0" fontId="6" fillId="0" borderId="1" xfId="0" applyFont="1" applyBorder="1" applyAlignment="1">
      <alignment wrapText="1"/>
    </xf>
    <xf numFmtId="0" fontId="7" fillId="3" borderId="27" xfId="0" applyFont="1" applyFill="1" applyBorder="1"/>
    <xf numFmtId="0" fontId="7" fillId="3" borderId="28" xfId="0" applyFont="1" applyFill="1" applyBorder="1"/>
    <xf numFmtId="0" fontId="6" fillId="4" borderId="27" xfId="0" applyFont="1" applyFill="1" applyBorder="1"/>
    <xf numFmtId="0" fontId="6" fillId="4" borderId="28" xfId="0" applyFont="1" applyFill="1" applyBorder="1"/>
    <xf numFmtId="0" fontId="6" fillId="0" borderId="29" xfId="0" applyFont="1" applyBorder="1"/>
    <xf numFmtId="0" fontId="6" fillId="0" borderId="28" xfId="0" applyFont="1" applyBorder="1"/>
    <xf numFmtId="0" fontId="6" fillId="4" borderId="30" xfId="0" applyFont="1" applyFill="1" applyBorder="1"/>
    <xf numFmtId="0" fontId="6" fillId="4" borderId="4" xfId="0" applyFont="1" applyFill="1" applyBorder="1"/>
    <xf numFmtId="0" fontId="6" fillId="0" borderId="7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/>
    </xf>
    <xf numFmtId="0" fontId="5" fillId="0" borderId="5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6" fillId="0" borderId="7" xfId="0" applyFont="1" applyBorder="1" applyAlignment="1">
      <alignment vertical="center" wrapText="1"/>
    </xf>
    <xf numFmtId="0" fontId="9" fillId="2" borderId="23" xfId="0" applyFont="1" applyFill="1" applyBorder="1" applyAlignment="1">
      <alignment horizontal="center" vertical="center"/>
    </xf>
    <xf numFmtId="49" fontId="9" fillId="2" borderId="23" xfId="0" applyNumberFormat="1" applyFont="1" applyFill="1" applyBorder="1" applyAlignment="1">
      <alignment horizontal="center" vertical="center"/>
    </xf>
    <xf numFmtId="49" fontId="9" fillId="2" borderId="23" xfId="0" applyNumberFormat="1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/>
    </xf>
    <xf numFmtId="49" fontId="9" fillId="2" borderId="10" xfId="0" applyNumberFormat="1" applyFont="1" applyFill="1" applyBorder="1" applyAlignment="1">
      <alignment horizontal="center" vertical="center"/>
    </xf>
    <xf numFmtId="49" fontId="9" fillId="2" borderId="10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18" xfId="0" applyFont="1" applyBorder="1" applyAlignment="1">
      <alignment horizontal="left" vertical="center" wrapText="1"/>
    </xf>
    <xf numFmtId="0" fontId="10" fillId="2" borderId="23" xfId="0" applyFont="1" applyFill="1" applyBorder="1" applyAlignment="1">
      <alignment horizontal="center" vertical="center"/>
    </xf>
    <xf numFmtId="49" fontId="10" fillId="2" borderId="23" xfId="0" applyNumberFormat="1" applyFont="1" applyFill="1" applyBorder="1" applyAlignment="1">
      <alignment horizontal="center" vertical="center" wrapText="1"/>
    </xf>
    <xf numFmtId="0" fontId="6" fillId="0" borderId="17" xfId="0" applyFont="1" applyBorder="1" applyAlignment="1">
      <alignment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34" xfId="0" applyFont="1" applyBorder="1" applyAlignment="1">
      <alignment wrapText="1"/>
    </xf>
    <xf numFmtId="0" fontId="6" fillId="0" borderId="34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17" xfId="0" applyFont="1" applyBorder="1" applyAlignment="1">
      <alignment wrapText="1"/>
    </xf>
    <xf numFmtId="0" fontId="6" fillId="0" borderId="34" xfId="0" applyFont="1" applyBorder="1" applyAlignment="1">
      <alignment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wrapText="1"/>
    </xf>
    <xf numFmtId="0" fontId="11" fillId="0" borderId="19" xfId="0" applyFont="1" applyBorder="1" applyAlignment="1">
      <alignment wrapText="1"/>
    </xf>
    <xf numFmtId="0" fontId="11" fillId="0" borderId="5" xfId="0" applyFont="1" applyBorder="1" applyAlignment="1">
      <alignment wrapText="1"/>
    </xf>
    <xf numFmtId="0" fontId="1" fillId="3" borderId="31" xfId="0" applyFont="1" applyFill="1" applyBorder="1"/>
    <xf numFmtId="0" fontId="1" fillId="3" borderId="37" xfId="0" applyFont="1" applyFill="1" applyBorder="1"/>
    <xf numFmtId="0" fontId="0" fillId="2" borderId="22" xfId="0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19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11" fillId="0" borderId="18" xfId="0" applyFont="1" applyBorder="1" applyAlignment="1">
      <alignment horizontal="left" wrapText="1"/>
    </xf>
    <xf numFmtId="0" fontId="11" fillId="0" borderId="9" xfId="0" applyFont="1" applyBorder="1" applyAlignment="1">
      <alignment horizontal="left" wrapText="1"/>
    </xf>
    <xf numFmtId="0" fontId="11" fillId="0" borderId="19" xfId="0" applyFont="1" applyBorder="1" applyAlignment="1">
      <alignment horizontal="left" wrapText="1"/>
    </xf>
    <xf numFmtId="0" fontId="5" fillId="0" borderId="1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10" fillId="2" borderId="12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horizontal="center" vertical="center" wrapText="1"/>
    </xf>
    <xf numFmtId="0" fontId="10" fillId="5" borderId="14" xfId="0" applyFont="1" applyFill="1" applyBorder="1" applyAlignment="1">
      <alignment horizontal="center" vertical="center" wrapText="1"/>
    </xf>
    <xf numFmtId="0" fontId="11" fillId="0" borderId="18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19" xfId="0" applyFont="1" applyBorder="1" applyAlignment="1">
      <alignment horizontal="left" vertical="center" wrapText="1"/>
    </xf>
    <xf numFmtId="0" fontId="9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</cellXfs>
  <cellStyles count="1">
    <cellStyle name="Звичайний" xfId="0" builtinId="0"/>
  </cellStyles>
  <dxfs count="5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39994506668294322"/>
        </patternFill>
      </fill>
    </dxf>
    <dxf>
      <fill>
        <patternFill>
          <bgColor rgb="FFFFD966"/>
        </patternFill>
      </fill>
    </dxf>
    <dxf>
      <fill>
        <patternFill>
          <bgColor rgb="FFC6EFCE"/>
        </patternFill>
      </fill>
    </dxf>
    <dxf>
      <fill>
        <patternFill>
          <fgColor rgb="FFC6EFCE"/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39994506668294322"/>
        </patternFill>
      </fill>
    </dxf>
    <dxf>
      <fill>
        <patternFill>
          <fgColor rgb="FFC6EFCE"/>
          <bgColor rgb="FFC6EFCE"/>
        </patternFill>
      </fill>
    </dxf>
    <dxf>
      <fill>
        <patternFill>
          <bgColor rgb="FFFFC7CE"/>
        </patternFill>
      </fill>
    </dxf>
    <dxf>
      <fill>
        <patternFill>
          <fgColor rgb="FFC6EFCE"/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C6EFCE"/>
          <bgColor rgb="FFC6EFCE"/>
        </patternFill>
      </fill>
    </dxf>
    <dxf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fgColor rgb="FFC6EFCE"/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39994506668294322"/>
        </patternFill>
      </fill>
    </dxf>
    <dxf>
      <fill>
        <patternFill>
          <bgColor rgb="FFFFC7CE"/>
        </patternFill>
      </fill>
    </dxf>
    <dxf>
      <fill>
        <patternFill>
          <bgColor rgb="FFFFD966"/>
        </patternFill>
      </fill>
    </dxf>
    <dxf>
      <fill>
        <patternFill>
          <bgColor rgb="FFC6EFCE"/>
        </patternFill>
      </fill>
    </dxf>
    <dxf>
      <fill>
        <patternFill>
          <fgColor rgb="FFC6EFCE"/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39994506668294322"/>
        </patternFill>
      </fill>
    </dxf>
    <dxf>
      <fill>
        <patternFill>
          <fgColor rgb="FFC6EFCE"/>
          <bgColor rgb="FFC6EFCE"/>
        </patternFill>
      </fill>
    </dxf>
    <dxf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fgColor rgb="FFC6EFCE"/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C6EFCE"/>
      <color rgb="FFFFD966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67655032021877"/>
          <c:y val="8.637868751244439E-4"/>
          <c:w val="0.84491511670675445"/>
          <c:h val="0.80720648082311763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'1. Фізична доступність'!$C$91</c:f>
              <c:strCache>
                <c:ptCount val="1"/>
                <c:pt idx="0">
                  <c:v>Виконано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A51-4C22-9744-180B8B574A4D}"/>
              </c:ext>
            </c:extLst>
          </c:dPt>
          <c:cat>
            <c:strRef>
              <c:f>'1. Фізична доступність'!$D$90:$F$90</c:f>
              <c:strCache>
                <c:ptCount val="3"/>
                <c:pt idx="0">
                  <c:v>Оцінювання - ДАТА 1</c:v>
                </c:pt>
                <c:pt idx="1">
                  <c:v>Оцінювання - ДАТА 2</c:v>
                </c:pt>
                <c:pt idx="2">
                  <c:v>Оцінювання - ДАТА 3</c:v>
                </c:pt>
              </c:strCache>
            </c:strRef>
          </c:cat>
          <c:val>
            <c:numRef>
              <c:f>'1. Фізична доступність'!$D$91:$F$91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51-4C22-9744-180B8B574A4D}"/>
            </c:ext>
          </c:extLst>
        </c:ser>
        <c:ser>
          <c:idx val="1"/>
          <c:order val="1"/>
          <c:tx>
            <c:strRef>
              <c:f>'1. Фізична доступність'!$C$92</c:f>
              <c:strCache>
                <c:ptCount val="1"/>
                <c:pt idx="0">
                  <c:v>Частково виконано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'1. Фізична доступність'!$D$90:$F$90</c:f>
              <c:strCache>
                <c:ptCount val="3"/>
                <c:pt idx="0">
                  <c:v>Оцінювання - ДАТА 1</c:v>
                </c:pt>
                <c:pt idx="1">
                  <c:v>Оцінювання - ДАТА 2</c:v>
                </c:pt>
                <c:pt idx="2">
                  <c:v>Оцінювання - ДАТА 3</c:v>
                </c:pt>
              </c:strCache>
            </c:strRef>
          </c:cat>
          <c:val>
            <c:numRef>
              <c:f>'1. Фізична доступність'!$D$92:$F$92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51-4C22-9744-180B8B574A4D}"/>
            </c:ext>
          </c:extLst>
        </c:ser>
        <c:ser>
          <c:idx val="2"/>
          <c:order val="2"/>
          <c:tx>
            <c:strRef>
              <c:f>'1. Фізична доступність'!$C$93</c:f>
              <c:strCache>
                <c:ptCount val="1"/>
                <c:pt idx="0">
                  <c:v>Не виконано</c:v>
                </c:pt>
              </c:strCache>
            </c:strRef>
          </c:tx>
          <c:spPr>
            <a:solidFill>
              <a:srgbClr val="FF0000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'1. Фізична доступність'!$D$90:$F$90</c:f>
              <c:strCache>
                <c:ptCount val="3"/>
                <c:pt idx="0">
                  <c:v>Оцінювання - ДАТА 1</c:v>
                </c:pt>
                <c:pt idx="1">
                  <c:v>Оцінювання - ДАТА 2</c:v>
                </c:pt>
                <c:pt idx="2">
                  <c:v>Оцінювання - ДАТА 3</c:v>
                </c:pt>
              </c:strCache>
            </c:strRef>
          </c:cat>
          <c:val>
            <c:numRef>
              <c:f>'1. Фізична доступність'!$D$93:$F$93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51-4C22-9744-180B8B574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2685056"/>
        <c:axId val="952683392"/>
      </c:barChart>
      <c:valAx>
        <c:axId val="952683392"/>
        <c:scaling>
          <c:orientation val="minMax"/>
          <c:max val="1"/>
          <c:min val="0"/>
        </c:scaling>
        <c:delete val="0"/>
        <c:axPos val="b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52685056"/>
        <c:crosses val="autoZero"/>
        <c:crossBetween val="between"/>
      </c:valAx>
      <c:catAx>
        <c:axId val="9526850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526833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67655032021877"/>
          <c:y val="8.637868751244439E-4"/>
          <c:w val="0.84491511670675445"/>
          <c:h val="0.80720648082311763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'1. Фізична доступність'!$K$10</c:f>
              <c:strCache>
                <c:ptCount val="1"/>
                <c:pt idx="0">
                  <c:v>Виконано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'1. Фізична доступність'!$L$9:$N$9</c:f>
              <c:strCache>
                <c:ptCount val="3"/>
                <c:pt idx="0">
                  <c:v>Оцінювання - ДАТА 1</c:v>
                </c:pt>
                <c:pt idx="1">
                  <c:v>Оцінювання - ДАТА 2</c:v>
                </c:pt>
                <c:pt idx="2">
                  <c:v>Оцінювання - ДАТА 3</c:v>
                </c:pt>
              </c:strCache>
            </c:strRef>
          </c:cat>
          <c:val>
            <c:numRef>
              <c:f>'1. Фізична доступність'!$L$10:$N$10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C3-4D0B-B4FE-C50CD9DFF764}"/>
            </c:ext>
          </c:extLst>
        </c:ser>
        <c:ser>
          <c:idx val="1"/>
          <c:order val="1"/>
          <c:tx>
            <c:strRef>
              <c:f>'1. Фізична доступність'!$K$11</c:f>
              <c:strCache>
                <c:ptCount val="1"/>
                <c:pt idx="0">
                  <c:v>Частково виконано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'1. Фізична доступність'!$L$9:$N$9</c:f>
              <c:strCache>
                <c:ptCount val="3"/>
                <c:pt idx="0">
                  <c:v>Оцінювання - ДАТА 1</c:v>
                </c:pt>
                <c:pt idx="1">
                  <c:v>Оцінювання - ДАТА 2</c:v>
                </c:pt>
                <c:pt idx="2">
                  <c:v>Оцінювання - ДАТА 3</c:v>
                </c:pt>
              </c:strCache>
            </c:strRef>
          </c:cat>
          <c:val>
            <c:numRef>
              <c:f>'1. Фізична доступність'!$L$11:$N$11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C3-4D0B-B4FE-C50CD9DFF764}"/>
            </c:ext>
          </c:extLst>
        </c:ser>
        <c:ser>
          <c:idx val="2"/>
          <c:order val="2"/>
          <c:tx>
            <c:strRef>
              <c:f>'1. Фізична доступність'!$K$12</c:f>
              <c:strCache>
                <c:ptCount val="1"/>
                <c:pt idx="0">
                  <c:v>Не виконано</c:v>
                </c:pt>
              </c:strCache>
            </c:strRef>
          </c:tx>
          <c:spPr>
            <a:solidFill>
              <a:srgbClr val="FF0000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'1. Фізична доступність'!$L$9:$N$9</c:f>
              <c:strCache>
                <c:ptCount val="3"/>
                <c:pt idx="0">
                  <c:v>Оцінювання - ДАТА 1</c:v>
                </c:pt>
                <c:pt idx="1">
                  <c:v>Оцінювання - ДАТА 2</c:v>
                </c:pt>
                <c:pt idx="2">
                  <c:v>Оцінювання - ДАТА 3</c:v>
                </c:pt>
              </c:strCache>
            </c:strRef>
          </c:cat>
          <c:val>
            <c:numRef>
              <c:f>'1. Фізична доступність'!$L$12:$N$12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C3-4D0B-B4FE-C50CD9DFF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2685056"/>
        <c:axId val="952683392"/>
      </c:barChart>
      <c:valAx>
        <c:axId val="952683392"/>
        <c:scaling>
          <c:orientation val="minMax"/>
          <c:max val="1"/>
          <c:min val="0"/>
        </c:scaling>
        <c:delete val="0"/>
        <c:axPos val="b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52685056"/>
        <c:crosses val="autoZero"/>
        <c:crossBetween val="between"/>
      </c:valAx>
      <c:catAx>
        <c:axId val="9526850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526833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467655032021877"/>
          <c:y val="8.637868751244439E-4"/>
          <c:w val="0.84491511670675445"/>
          <c:h val="0.80720648082311763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'1. Фізична доступність'!$K$22</c:f>
              <c:strCache>
                <c:ptCount val="1"/>
                <c:pt idx="0">
                  <c:v>Виконано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A51-4C22-9744-180B8B574A4D}"/>
              </c:ext>
            </c:extLst>
          </c:dPt>
          <c:cat>
            <c:strRef>
              <c:f>'1. Фізична доступність'!$L$21:$N$21</c:f>
              <c:strCache>
                <c:ptCount val="3"/>
                <c:pt idx="0">
                  <c:v>Оцінювання - ДАТА 1</c:v>
                </c:pt>
                <c:pt idx="1">
                  <c:v>Оцінювання - ДАТА 2</c:v>
                </c:pt>
                <c:pt idx="2">
                  <c:v>Оцінювання - ДАТА 3</c:v>
                </c:pt>
              </c:strCache>
            </c:strRef>
          </c:cat>
          <c:val>
            <c:numRef>
              <c:f>'1. Фізична доступність'!$L$22:$N$22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51-4C22-9744-180B8B574A4D}"/>
            </c:ext>
          </c:extLst>
        </c:ser>
        <c:ser>
          <c:idx val="1"/>
          <c:order val="1"/>
          <c:tx>
            <c:strRef>
              <c:f>'1. Фізична доступність'!$K$23</c:f>
              <c:strCache>
                <c:ptCount val="1"/>
                <c:pt idx="0">
                  <c:v>Частково виконано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'1. Фізична доступність'!$L$21:$N$21</c:f>
              <c:strCache>
                <c:ptCount val="3"/>
                <c:pt idx="0">
                  <c:v>Оцінювання - ДАТА 1</c:v>
                </c:pt>
                <c:pt idx="1">
                  <c:v>Оцінювання - ДАТА 2</c:v>
                </c:pt>
                <c:pt idx="2">
                  <c:v>Оцінювання - ДАТА 3</c:v>
                </c:pt>
              </c:strCache>
            </c:strRef>
          </c:cat>
          <c:val>
            <c:numRef>
              <c:f>'1. Фізична доступність'!$L$23:$N$23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51-4C22-9744-180B8B574A4D}"/>
            </c:ext>
          </c:extLst>
        </c:ser>
        <c:ser>
          <c:idx val="2"/>
          <c:order val="2"/>
          <c:tx>
            <c:strRef>
              <c:f>'1. Фізична доступність'!$K$24</c:f>
              <c:strCache>
                <c:ptCount val="1"/>
                <c:pt idx="0">
                  <c:v>Не виконано</c:v>
                </c:pt>
              </c:strCache>
            </c:strRef>
          </c:tx>
          <c:spPr>
            <a:solidFill>
              <a:srgbClr val="FF0000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'1. Фізична доступність'!$L$21:$N$21</c:f>
              <c:strCache>
                <c:ptCount val="3"/>
                <c:pt idx="0">
                  <c:v>Оцінювання - ДАТА 1</c:v>
                </c:pt>
                <c:pt idx="1">
                  <c:v>Оцінювання - ДАТА 2</c:v>
                </c:pt>
                <c:pt idx="2">
                  <c:v>Оцінювання - ДАТА 3</c:v>
                </c:pt>
              </c:strCache>
            </c:strRef>
          </c:cat>
          <c:val>
            <c:numRef>
              <c:f>'1. Фізична доступність'!$L$24:$N$24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51-4C22-9744-180B8B574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2685056"/>
        <c:axId val="952683392"/>
      </c:barChart>
      <c:valAx>
        <c:axId val="952683392"/>
        <c:scaling>
          <c:orientation val="minMax"/>
          <c:max val="1"/>
          <c:min val="0"/>
        </c:scaling>
        <c:delete val="0"/>
        <c:axPos val="b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52685056"/>
        <c:crosses val="autoZero"/>
        <c:crossBetween val="between"/>
      </c:valAx>
      <c:catAx>
        <c:axId val="9526850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526833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467655032021877"/>
          <c:y val="8.637868751244439E-4"/>
          <c:w val="0.84491511670675445"/>
          <c:h val="0.80720648082311763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'1. Фізична доступність'!$K$46</c:f>
              <c:strCache>
                <c:ptCount val="1"/>
                <c:pt idx="0">
                  <c:v>Виконано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A51-4C22-9744-180B8B574A4D}"/>
              </c:ext>
            </c:extLst>
          </c:dPt>
          <c:cat>
            <c:strRef>
              <c:f>'1. Фізична доступність'!$L$45:$N$45</c:f>
              <c:strCache>
                <c:ptCount val="3"/>
                <c:pt idx="0">
                  <c:v>Оцінювання - ДАТА 1</c:v>
                </c:pt>
                <c:pt idx="1">
                  <c:v>Оцінювання - ДАТА 2</c:v>
                </c:pt>
                <c:pt idx="2">
                  <c:v>Оцінювання - ДАТА 3</c:v>
                </c:pt>
              </c:strCache>
            </c:strRef>
          </c:cat>
          <c:val>
            <c:numRef>
              <c:f>'1. Фізична доступність'!$L$46:$N$46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51-4C22-9744-180B8B574A4D}"/>
            </c:ext>
          </c:extLst>
        </c:ser>
        <c:ser>
          <c:idx val="1"/>
          <c:order val="1"/>
          <c:tx>
            <c:strRef>
              <c:f>'1. Фізична доступність'!$K$47</c:f>
              <c:strCache>
                <c:ptCount val="1"/>
                <c:pt idx="0">
                  <c:v>Частково виконано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'1. Фізична доступність'!$L$45:$N$45</c:f>
              <c:strCache>
                <c:ptCount val="3"/>
                <c:pt idx="0">
                  <c:v>Оцінювання - ДАТА 1</c:v>
                </c:pt>
                <c:pt idx="1">
                  <c:v>Оцінювання - ДАТА 2</c:v>
                </c:pt>
                <c:pt idx="2">
                  <c:v>Оцінювання - ДАТА 3</c:v>
                </c:pt>
              </c:strCache>
            </c:strRef>
          </c:cat>
          <c:val>
            <c:numRef>
              <c:f>'1. Фізична доступність'!$L$47:$N$47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51-4C22-9744-180B8B574A4D}"/>
            </c:ext>
          </c:extLst>
        </c:ser>
        <c:ser>
          <c:idx val="2"/>
          <c:order val="2"/>
          <c:tx>
            <c:strRef>
              <c:f>'1. Фізична доступність'!$K$48</c:f>
              <c:strCache>
                <c:ptCount val="1"/>
                <c:pt idx="0">
                  <c:v>Не виконано</c:v>
                </c:pt>
              </c:strCache>
            </c:strRef>
          </c:tx>
          <c:spPr>
            <a:solidFill>
              <a:srgbClr val="FF0000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'1. Фізична доступність'!$L$45:$N$45</c:f>
              <c:strCache>
                <c:ptCount val="3"/>
                <c:pt idx="0">
                  <c:v>Оцінювання - ДАТА 1</c:v>
                </c:pt>
                <c:pt idx="1">
                  <c:v>Оцінювання - ДАТА 2</c:v>
                </c:pt>
                <c:pt idx="2">
                  <c:v>Оцінювання - ДАТА 3</c:v>
                </c:pt>
              </c:strCache>
            </c:strRef>
          </c:cat>
          <c:val>
            <c:numRef>
              <c:f>'1. Фізична доступність'!$L$48:$N$48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51-4C22-9744-180B8B574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2685056"/>
        <c:axId val="952683392"/>
      </c:barChart>
      <c:valAx>
        <c:axId val="952683392"/>
        <c:scaling>
          <c:orientation val="minMax"/>
          <c:max val="1"/>
          <c:min val="0"/>
        </c:scaling>
        <c:delete val="0"/>
        <c:axPos val="b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52685056"/>
        <c:crosses val="autoZero"/>
        <c:crossBetween val="between"/>
      </c:valAx>
      <c:catAx>
        <c:axId val="9526850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526833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467655032021877"/>
          <c:y val="8.637868751244439E-4"/>
          <c:w val="0.84491511670675445"/>
          <c:h val="0.80720648082311763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'1. Фізична доступність'!$K$59</c:f>
              <c:strCache>
                <c:ptCount val="1"/>
                <c:pt idx="0">
                  <c:v>Виконано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A51-4C22-9744-180B8B574A4D}"/>
              </c:ext>
            </c:extLst>
          </c:dPt>
          <c:cat>
            <c:strRef>
              <c:f>'1. Фізична доступність'!$L$58:$N$58</c:f>
              <c:strCache>
                <c:ptCount val="3"/>
                <c:pt idx="0">
                  <c:v>Оцінювання - ДАТА 1</c:v>
                </c:pt>
                <c:pt idx="1">
                  <c:v>Оцінювання - ДАТА 2</c:v>
                </c:pt>
                <c:pt idx="2">
                  <c:v>Оцінювання - ДАТА 3</c:v>
                </c:pt>
              </c:strCache>
            </c:strRef>
          </c:cat>
          <c:val>
            <c:numRef>
              <c:f>'1. Фізична доступність'!$L$59:$N$59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51-4C22-9744-180B8B574A4D}"/>
            </c:ext>
          </c:extLst>
        </c:ser>
        <c:ser>
          <c:idx val="1"/>
          <c:order val="1"/>
          <c:tx>
            <c:strRef>
              <c:f>'1. Фізична доступність'!$K$60</c:f>
              <c:strCache>
                <c:ptCount val="1"/>
                <c:pt idx="0">
                  <c:v>Частково виконано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'1. Фізична доступність'!$L$58:$N$58</c:f>
              <c:strCache>
                <c:ptCount val="3"/>
                <c:pt idx="0">
                  <c:v>Оцінювання - ДАТА 1</c:v>
                </c:pt>
                <c:pt idx="1">
                  <c:v>Оцінювання - ДАТА 2</c:v>
                </c:pt>
                <c:pt idx="2">
                  <c:v>Оцінювання - ДАТА 3</c:v>
                </c:pt>
              </c:strCache>
            </c:strRef>
          </c:cat>
          <c:val>
            <c:numRef>
              <c:f>'1. Фізична доступність'!$L$60:$N$60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51-4C22-9744-180B8B574A4D}"/>
            </c:ext>
          </c:extLst>
        </c:ser>
        <c:ser>
          <c:idx val="2"/>
          <c:order val="2"/>
          <c:tx>
            <c:strRef>
              <c:f>'1. Фізична доступність'!$K$61</c:f>
              <c:strCache>
                <c:ptCount val="1"/>
                <c:pt idx="0">
                  <c:v>Не виконано</c:v>
                </c:pt>
              </c:strCache>
            </c:strRef>
          </c:tx>
          <c:spPr>
            <a:solidFill>
              <a:srgbClr val="FF0000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'1. Фізична доступність'!$L$58:$N$58</c:f>
              <c:strCache>
                <c:ptCount val="3"/>
                <c:pt idx="0">
                  <c:v>Оцінювання - ДАТА 1</c:v>
                </c:pt>
                <c:pt idx="1">
                  <c:v>Оцінювання - ДАТА 2</c:v>
                </c:pt>
                <c:pt idx="2">
                  <c:v>Оцінювання - ДАТА 3</c:v>
                </c:pt>
              </c:strCache>
            </c:strRef>
          </c:cat>
          <c:val>
            <c:numRef>
              <c:f>'1. Фізична доступність'!$L$61:$N$61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51-4C22-9744-180B8B574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2685056"/>
        <c:axId val="952683392"/>
      </c:barChart>
      <c:valAx>
        <c:axId val="952683392"/>
        <c:scaling>
          <c:orientation val="minMax"/>
          <c:max val="1"/>
          <c:min val="0"/>
        </c:scaling>
        <c:delete val="0"/>
        <c:axPos val="b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52685056"/>
        <c:crosses val="autoZero"/>
        <c:crossBetween val="between"/>
      </c:valAx>
      <c:catAx>
        <c:axId val="9526850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526833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9762093843702914"/>
          <c:y val="0.88877118363987118"/>
          <c:w val="0.40835371068883247"/>
          <c:h val="9.44396608326187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831450744485724"/>
          <c:y val="8.6368362075591528E-4"/>
          <c:w val="0.79127699542233276"/>
          <c:h val="0.80720648082311763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'1. Фізична доступність'!$K$71</c:f>
              <c:strCache>
                <c:ptCount val="1"/>
                <c:pt idx="0">
                  <c:v>Виконано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A51-4C22-9744-180B8B574A4D}"/>
              </c:ext>
            </c:extLst>
          </c:dPt>
          <c:cat>
            <c:strRef>
              <c:f>'1. Фізична доступність'!$L$70:$N$70</c:f>
              <c:strCache>
                <c:ptCount val="3"/>
                <c:pt idx="0">
                  <c:v>Оцінювання - ДАТА 1</c:v>
                </c:pt>
                <c:pt idx="1">
                  <c:v>Оцінювання - ДАТА 2</c:v>
                </c:pt>
                <c:pt idx="2">
                  <c:v>Оцінювання - ДАТА 3</c:v>
                </c:pt>
              </c:strCache>
            </c:strRef>
          </c:cat>
          <c:val>
            <c:numRef>
              <c:f>'1. Фізична доступність'!$L$71:$N$71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51-4C22-9744-180B8B574A4D}"/>
            </c:ext>
          </c:extLst>
        </c:ser>
        <c:ser>
          <c:idx val="1"/>
          <c:order val="1"/>
          <c:tx>
            <c:strRef>
              <c:f>'1. Фізична доступність'!$K$72</c:f>
              <c:strCache>
                <c:ptCount val="1"/>
                <c:pt idx="0">
                  <c:v>Частково виконано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'1. Фізична доступність'!$L$70:$N$70</c:f>
              <c:strCache>
                <c:ptCount val="3"/>
                <c:pt idx="0">
                  <c:v>Оцінювання - ДАТА 1</c:v>
                </c:pt>
                <c:pt idx="1">
                  <c:v>Оцінювання - ДАТА 2</c:v>
                </c:pt>
                <c:pt idx="2">
                  <c:v>Оцінювання - ДАТА 3</c:v>
                </c:pt>
              </c:strCache>
            </c:strRef>
          </c:cat>
          <c:val>
            <c:numRef>
              <c:f>'1. Фізична доступність'!$L$72:$N$72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51-4C22-9744-180B8B574A4D}"/>
            </c:ext>
          </c:extLst>
        </c:ser>
        <c:ser>
          <c:idx val="2"/>
          <c:order val="2"/>
          <c:tx>
            <c:strRef>
              <c:f>'1. Фізична доступність'!$K$73</c:f>
              <c:strCache>
                <c:ptCount val="1"/>
                <c:pt idx="0">
                  <c:v>Не виконано</c:v>
                </c:pt>
              </c:strCache>
            </c:strRef>
          </c:tx>
          <c:spPr>
            <a:solidFill>
              <a:srgbClr val="FF0000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'1. Фізична доступність'!$L$70:$N$70</c:f>
              <c:strCache>
                <c:ptCount val="3"/>
                <c:pt idx="0">
                  <c:v>Оцінювання - ДАТА 1</c:v>
                </c:pt>
                <c:pt idx="1">
                  <c:v>Оцінювання - ДАТА 2</c:v>
                </c:pt>
                <c:pt idx="2">
                  <c:v>Оцінювання - ДАТА 3</c:v>
                </c:pt>
              </c:strCache>
            </c:strRef>
          </c:cat>
          <c:val>
            <c:numRef>
              <c:f>'1. Фізична доступність'!$L$73:$N$73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51-4C22-9744-180B8B574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2685056"/>
        <c:axId val="952683392"/>
      </c:barChart>
      <c:valAx>
        <c:axId val="952683392"/>
        <c:scaling>
          <c:orientation val="minMax"/>
          <c:max val="1"/>
          <c:min val="0"/>
        </c:scaling>
        <c:delete val="0"/>
        <c:axPos val="b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52685056"/>
        <c:crosses val="autoZero"/>
        <c:crossBetween val="between"/>
      </c:valAx>
      <c:catAx>
        <c:axId val="9526850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526833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723684946840258"/>
          <c:y val="0.72649816408235801"/>
          <c:w val="0.55379272545419123"/>
          <c:h val="0.12186944500993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467655032021877"/>
          <c:y val="8.637868751244439E-4"/>
          <c:w val="0.84491511670675445"/>
          <c:h val="0.80720648082311763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'1. Фізична доступність'!$K$80</c:f>
              <c:strCache>
                <c:ptCount val="1"/>
                <c:pt idx="0">
                  <c:v>Виконано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A51-4C22-9744-180B8B574A4D}"/>
              </c:ext>
            </c:extLst>
          </c:dPt>
          <c:cat>
            <c:strRef>
              <c:f>'1. Фізична доступність'!$L$79:$N$79</c:f>
              <c:strCache>
                <c:ptCount val="3"/>
                <c:pt idx="0">
                  <c:v>Оцінювання - ДАТА 1</c:v>
                </c:pt>
                <c:pt idx="1">
                  <c:v>Оцінювання - ДАТА 2</c:v>
                </c:pt>
                <c:pt idx="2">
                  <c:v>Оцінювання - ДАТА 3</c:v>
                </c:pt>
              </c:strCache>
            </c:strRef>
          </c:cat>
          <c:val>
            <c:numRef>
              <c:f>'1. Фізична доступність'!$L$80:$N$80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51-4C22-9744-180B8B574A4D}"/>
            </c:ext>
          </c:extLst>
        </c:ser>
        <c:ser>
          <c:idx val="1"/>
          <c:order val="1"/>
          <c:tx>
            <c:strRef>
              <c:f>'1. Фізична доступність'!$K$81</c:f>
              <c:strCache>
                <c:ptCount val="1"/>
                <c:pt idx="0">
                  <c:v>Частково виконано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'1. Фізична доступність'!$L$79:$N$79</c:f>
              <c:strCache>
                <c:ptCount val="3"/>
                <c:pt idx="0">
                  <c:v>Оцінювання - ДАТА 1</c:v>
                </c:pt>
                <c:pt idx="1">
                  <c:v>Оцінювання - ДАТА 2</c:v>
                </c:pt>
                <c:pt idx="2">
                  <c:v>Оцінювання - ДАТА 3</c:v>
                </c:pt>
              </c:strCache>
            </c:strRef>
          </c:cat>
          <c:val>
            <c:numRef>
              <c:f>'1. Фізична доступність'!$L$81:$N$81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51-4C22-9744-180B8B574A4D}"/>
            </c:ext>
          </c:extLst>
        </c:ser>
        <c:ser>
          <c:idx val="2"/>
          <c:order val="2"/>
          <c:tx>
            <c:strRef>
              <c:f>'1. Фізична доступність'!$K$82</c:f>
              <c:strCache>
                <c:ptCount val="1"/>
                <c:pt idx="0">
                  <c:v>Не виконано</c:v>
                </c:pt>
              </c:strCache>
            </c:strRef>
          </c:tx>
          <c:spPr>
            <a:solidFill>
              <a:srgbClr val="FF0000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'1. Фізична доступність'!$L$79:$N$79</c:f>
              <c:strCache>
                <c:ptCount val="3"/>
                <c:pt idx="0">
                  <c:v>Оцінювання - ДАТА 1</c:v>
                </c:pt>
                <c:pt idx="1">
                  <c:v>Оцінювання - ДАТА 2</c:v>
                </c:pt>
                <c:pt idx="2">
                  <c:v>Оцінювання - ДАТА 3</c:v>
                </c:pt>
              </c:strCache>
            </c:strRef>
          </c:cat>
          <c:val>
            <c:numRef>
              <c:f>'1. Фізична доступність'!$L$82:$N$82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51-4C22-9744-180B8B574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2685056"/>
        <c:axId val="952683392"/>
      </c:barChart>
      <c:valAx>
        <c:axId val="952683392"/>
        <c:scaling>
          <c:orientation val="minMax"/>
          <c:max val="1"/>
          <c:min val="0"/>
        </c:scaling>
        <c:delete val="0"/>
        <c:axPos val="b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52685056"/>
        <c:crosses val="autoZero"/>
        <c:crossBetween val="between"/>
      </c:valAx>
      <c:catAx>
        <c:axId val="9526850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526833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342484349291424"/>
          <c:y val="8.637868751244439E-4"/>
          <c:w val="0.78063315932777255"/>
          <c:h val="0.80720648082311763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'2. Доступність навч. матеріалів'!$K$4</c:f>
              <c:strCache>
                <c:ptCount val="1"/>
                <c:pt idx="0">
                  <c:v>Виконано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A39-45FA-81C1-DECD49F3BA56}"/>
              </c:ext>
            </c:extLst>
          </c:dPt>
          <c:cat>
            <c:strRef>
              <c:f>'2. Доступність навч. матеріалів'!$L$3:$N$3</c:f>
              <c:strCache>
                <c:ptCount val="3"/>
                <c:pt idx="0">
                  <c:v>Оцінювання - ДАТА 1</c:v>
                </c:pt>
                <c:pt idx="1">
                  <c:v>Оцінювання - ДАТА 2</c:v>
                </c:pt>
                <c:pt idx="2">
                  <c:v>Оцінювання - ДАТА 3</c:v>
                </c:pt>
              </c:strCache>
            </c:strRef>
          </c:cat>
          <c:val>
            <c:numRef>
              <c:f>'2. Доступність навч. матеріалів'!$L$4:$N$4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39-45FA-81C1-DECD49F3BA56}"/>
            </c:ext>
          </c:extLst>
        </c:ser>
        <c:ser>
          <c:idx val="1"/>
          <c:order val="1"/>
          <c:tx>
            <c:strRef>
              <c:f>'2. Доступність навч. матеріалів'!$K$5</c:f>
              <c:strCache>
                <c:ptCount val="1"/>
                <c:pt idx="0">
                  <c:v>Частково виконано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'2. Доступність навч. матеріалів'!$L$3:$N$3</c:f>
              <c:strCache>
                <c:ptCount val="3"/>
                <c:pt idx="0">
                  <c:v>Оцінювання - ДАТА 1</c:v>
                </c:pt>
                <c:pt idx="1">
                  <c:v>Оцінювання - ДАТА 2</c:v>
                </c:pt>
                <c:pt idx="2">
                  <c:v>Оцінювання - ДАТА 3</c:v>
                </c:pt>
              </c:strCache>
            </c:strRef>
          </c:cat>
          <c:val>
            <c:numRef>
              <c:f>'2. Доступність навч. матеріалів'!$L$5:$N$5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39-45FA-81C1-DECD49F3BA56}"/>
            </c:ext>
          </c:extLst>
        </c:ser>
        <c:ser>
          <c:idx val="2"/>
          <c:order val="2"/>
          <c:tx>
            <c:strRef>
              <c:f>'2. Доступність навч. матеріалів'!$K$6</c:f>
              <c:strCache>
                <c:ptCount val="1"/>
                <c:pt idx="0">
                  <c:v>Не виконано</c:v>
                </c:pt>
              </c:strCache>
            </c:strRef>
          </c:tx>
          <c:spPr>
            <a:solidFill>
              <a:srgbClr val="FF0000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'2. Доступність навч. матеріалів'!$L$3:$N$3</c:f>
              <c:strCache>
                <c:ptCount val="3"/>
                <c:pt idx="0">
                  <c:v>Оцінювання - ДАТА 1</c:v>
                </c:pt>
                <c:pt idx="1">
                  <c:v>Оцінювання - ДАТА 2</c:v>
                </c:pt>
                <c:pt idx="2">
                  <c:v>Оцінювання - ДАТА 3</c:v>
                </c:pt>
              </c:strCache>
            </c:strRef>
          </c:cat>
          <c:val>
            <c:numRef>
              <c:f>'2. Доступність навч. матеріалів'!$L$6:$N$6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39-45FA-81C1-DECD49F3B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2685056"/>
        <c:axId val="952683392"/>
      </c:barChart>
      <c:valAx>
        <c:axId val="952683392"/>
        <c:scaling>
          <c:orientation val="minMax"/>
          <c:max val="1"/>
          <c:min val="0"/>
        </c:scaling>
        <c:delete val="0"/>
        <c:axPos val="b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52685056"/>
        <c:crosses val="autoZero"/>
        <c:crossBetween val="between"/>
      </c:valAx>
      <c:catAx>
        <c:axId val="9526850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526833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851395486533649"/>
          <c:y val="0.89086025831276794"/>
          <c:w val="0.60120182092563923"/>
          <c:h val="0.109139741687231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59365371285638"/>
          <c:y val="8.637868751244439E-4"/>
          <c:w val="0.85399797756234253"/>
          <c:h val="0.80720648082311763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'3. Інклюзивні методи навчання'!$K$4</c:f>
              <c:strCache>
                <c:ptCount val="1"/>
                <c:pt idx="0">
                  <c:v>Виконано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D5-4117-A424-BD8DB389EE0F}"/>
              </c:ext>
            </c:extLst>
          </c:dPt>
          <c:cat>
            <c:strRef>
              <c:f>'3. Інклюзивні методи навчання'!$L$3:$N$3</c:f>
              <c:strCache>
                <c:ptCount val="3"/>
                <c:pt idx="0">
                  <c:v>Оцінювання - ДАТА 1</c:v>
                </c:pt>
                <c:pt idx="1">
                  <c:v>Оцінювання - ДАТА 2</c:v>
                </c:pt>
                <c:pt idx="2">
                  <c:v>Оцінювання - ДАТА 3</c:v>
                </c:pt>
              </c:strCache>
            </c:strRef>
          </c:cat>
          <c:val>
            <c:numRef>
              <c:f>'3. Інклюзивні методи навчання'!$L$4:$N$4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D5-4117-A424-BD8DB389EE0F}"/>
            </c:ext>
          </c:extLst>
        </c:ser>
        <c:ser>
          <c:idx val="1"/>
          <c:order val="1"/>
          <c:tx>
            <c:strRef>
              <c:f>'3. Інклюзивні методи навчання'!$K$5</c:f>
              <c:strCache>
                <c:ptCount val="1"/>
                <c:pt idx="0">
                  <c:v>Частково виконано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'3. Інклюзивні методи навчання'!$L$3:$N$3</c:f>
              <c:strCache>
                <c:ptCount val="3"/>
                <c:pt idx="0">
                  <c:v>Оцінювання - ДАТА 1</c:v>
                </c:pt>
                <c:pt idx="1">
                  <c:v>Оцінювання - ДАТА 2</c:v>
                </c:pt>
                <c:pt idx="2">
                  <c:v>Оцінювання - ДАТА 3</c:v>
                </c:pt>
              </c:strCache>
            </c:strRef>
          </c:cat>
          <c:val>
            <c:numRef>
              <c:f>'3. Інклюзивні методи навчання'!$L$5:$N$5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D5-4117-A424-BD8DB389EE0F}"/>
            </c:ext>
          </c:extLst>
        </c:ser>
        <c:ser>
          <c:idx val="2"/>
          <c:order val="2"/>
          <c:tx>
            <c:strRef>
              <c:f>'3. Інклюзивні методи навчання'!$K$6</c:f>
              <c:strCache>
                <c:ptCount val="1"/>
                <c:pt idx="0">
                  <c:v>Не виконано</c:v>
                </c:pt>
              </c:strCache>
            </c:strRef>
          </c:tx>
          <c:spPr>
            <a:solidFill>
              <a:srgbClr val="FF0000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'3. Інклюзивні методи навчання'!$L$3:$N$3</c:f>
              <c:strCache>
                <c:ptCount val="3"/>
                <c:pt idx="0">
                  <c:v>Оцінювання - ДАТА 1</c:v>
                </c:pt>
                <c:pt idx="1">
                  <c:v>Оцінювання - ДАТА 2</c:v>
                </c:pt>
                <c:pt idx="2">
                  <c:v>Оцінювання - ДАТА 3</c:v>
                </c:pt>
              </c:strCache>
            </c:strRef>
          </c:cat>
          <c:val>
            <c:numRef>
              <c:f>'3. Інклюзивні методи навчання'!$L$6:$N$6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AD5-4117-A424-BD8DB389E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2685056"/>
        <c:axId val="952683392"/>
      </c:barChart>
      <c:valAx>
        <c:axId val="952683392"/>
        <c:scaling>
          <c:orientation val="minMax"/>
          <c:max val="1"/>
          <c:min val="0"/>
        </c:scaling>
        <c:delete val="0"/>
        <c:axPos val="b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52685056"/>
        <c:crosses val="autoZero"/>
        <c:crossBetween val="between"/>
      </c:valAx>
      <c:catAx>
        <c:axId val="9526850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526833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280084554348241"/>
          <c:y val="0.9050256033006211"/>
          <c:w val="0.39790172798466161"/>
          <c:h val="9.49743966993789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917676910213012E-2"/>
          <c:y val="8.637868751244439E-4"/>
          <c:w val="0.86067389511756354"/>
          <c:h val="0.80720648082311763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'4. Комунікаційна доступність'!$K$4</c:f>
              <c:strCache>
                <c:ptCount val="1"/>
                <c:pt idx="0">
                  <c:v>Виконано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F84-4DE4-ACCE-66273DDBF24B}"/>
              </c:ext>
            </c:extLst>
          </c:dPt>
          <c:cat>
            <c:strRef>
              <c:f>'4. Комунікаційна доступність'!$L$3:$N$3</c:f>
              <c:strCache>
                <c:ptCount val="3"/>
                <c:pt idx="0">
                  <c:v>Оцінювання - ДАТА 1</c:v>
                </c:pt>
                <c:pt idx="1">
                  <c:v>Оцінювання - ДАТА 2</c:v>
                </c:pt>
                <c:pt idx="2">
                  <c:v>Оцінювання - ДАТА 3</c:v>
                </c:pt>
              </c:strCache>
            </c:strRef>
          </c:cat>
          <c:val>
            <c:numRef>
              <c:f>'4. Комунікаційна доступність'!$L$4:$N$4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84-4DE4-ACCE-66273DDBF24B}"/>
            </c:ext>
          </c:extLst>
        </c:ser>
        <c:ser>
          <c:idx val="1"/>
          <c:order val="1"/>
          <c:tx>
            <c:strRef>
              <c:f>'4. Комунікаційна доступність'!$K$5</c:f>
              <c:strCache>
                <c:ptCount val="1"/>
                <c:pt idx="0">
                  <c:v>Частково виконано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'4. Комунікаційна доступність'!$L$3:$N$3</c:f>
              <c:strCache>
                <c:ptCount val="3"/>
                <c:pt idx="0">
                  <c:v>Оцінювання - ДАТА 1</c:v>
                </c:pt>
                <c:pt idx="1">
                  <c:v>Оцінювання - ДАТА 2</c:v>
                </c:pt>
                <c:pt idx="2">
                  <c:v>Оцінювання - ДАТА 3</c:v>
                </c:pt>
              </c:strCache>
            </c:strRef>
          </c:cat>
          <c:val>
            <c:numRef>
              <c:f>'4. Комунікаційна доступність'!$L$5:$N$5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84-4DE4-ACCE-66273DDBF24B}"/>
            </c:ext>
          </c:extLst>
        </c:ser>
        <c:ser>
          <c:idx val="2"/>
          <c:order val="2"/>
          <c:tx>
            <c:strRef>
              <c:f>'4. Комунікаційна доступність'!$K$6</c:f>
              <c:strCache>
                <c:ptCount val="1"/>
                <c:pt idx="0">
                  <c:v>Не виконано</c:v>
                </c:pt>
              </c:strCache>
            </c:strRef>
          </c:tx>
          <c:spPr>
            <a:solidFill>
              <a:srgbClr val="FF0000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'4. Комунікаційна доступність'!$L$3:$N$3</c:f>
              <c:strCache>
                <c:ptCount val="3"/>
                <c:pt idx="0">
                  <c:v>Оцінювання - ДАТА 1</c:v>
                </c:pt>
                <c:pt idx="1">
                  <c:v>Оцінювання - ДАТА 2</c:v>
                </c:pt>
                <c:pt idx="2">
                  <c:v>Оцінювання - ДАТА 3</c:v>
                </c:pt>
              </c:strCache>
            </c:strRef>
          </c:cat>
          <c:val>
            <c:numRef>
              <c:f>'4. Комунікаційна доступність'!$L$6:$N$6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84-4DE4-ACCE-66273DDBF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2685056"/>
        <c:axId val="952683392"/>
      </c:barChart>
      <c:valAx>
        <c:axId val="952683392"/>
        <c:scaling>
          <c:orientation val="minMax"/>
          <c:max val="1"/>
          <c:min val="0"/>
        </c:scaling>
        <c:delete val="0"/>
        <c:axPos val="b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52685056"/>
        <c:crosses val="autoZero"/>
        <c:crossBetween val="between"/>
      </c:valAx>
      <c:catAx>
        <c:axId val="9526850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526833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049242179382675"/>
          <c:y val="0.89313530347406822"/>
          <c:w val="0.37901515641234651"/>
          <c:h val="8.6387744786237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56518478668425"/>
          <c:y val="8.639787425321452E-4"/>
          <c:w val="0.80527699254984431"/>
          <c:h val="0.80720648082311763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'5. Адм. підтримка, політики'!$K$4</c:f>
              <c:strCache>
                <c:ptCount val="1"/>
                <c:pt idx="0">
                  <c:v>Виконано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A6-4A10-96EC-714C88C15B94}"/>
              </c:ext>
            </c:extLst>
          </c:dPt>
          <c:cat>
            <c:strRef>
              <c:f>'5. Адм. підтримка, політики'!$L$3:$N$3</c:f>
              <c:strCache>
                <c:ptCount val="3"/>
                <c:pt idx="0">
                  <c:v>Оцінювання - ДАТА 1</c:v>
                </c:pt>
                <c:pt idx="1">
                  <c:v>Оцінювання - ДАТА 2</c:v>
                </c:pt>
                <c:pt idx="2">
                  <c:v>Оцінювання - ДАТА 3</c:v>
                </c:pt>
              </c:strCache>
            </c:strRef>
          </c:cat>
          <c:val>
            <c:numRef>
              <c:f>'5. Адм. підтримка, політики'!$L$4:$N$4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A6-4A10-96EC-714C88C15B94}"/>
            </c:ext>
          </c:extLst>
        </c:ser>
        <c:ser>
          <c:idx val="1"/>
          <c:order val="1"/>
          <c:tx>
            <c:strRef>
              <c:f>'5. Адм. підтримка, політики'!$K$5</c:f>
              <c:strCache>
                <c:ptCount val="1"/>
                <c:pt idx="0">
                  <c:v>Частково виконано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'5. Адм. підтримка, політики'!$L$3:$N$3</c:f>
              <c:strCache>
                <c:ptCount val="3"/>
                <c:pt idx="0">
                  <c:v>Оцінювання - ДАТА 1</c:v>
                </c:pt>
                <c:pt idx="1">
                  <c:v>Оцінювання - ДАТА 2</c:v>
                </c:pt>
                <c:pt idx="2">
                  <c:v>Оцінювання - ДАТА 3</c:v>
                </c:pt>
              </c:strCache>
            </c:strRef>
          </c:cat>
          <c:val>
            <c:numRef>
              <c:f>'5. Адм. підтримка, політики'!$L$5:$N$5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A6-4A10-96EC-714C88C15B94}"/>
            </c:ext>
          </c:extLst>
        </c:ser>
        <c:ser>
          <c:idx val="2"/>
          <c:order val="2"/>
          <c:tx>
            <c:strRef>
              <c:f>'5. Адм. підтримка, політики'!$K$6</c:f>
              <c:strCache>
                <c:ptCount val="1"/>
                <c:pt idx="0">
                  <c:v>Не виконано</c:v>
                </c:pt>
              </c:strCache>
            </c:strRef>
          </c:tx>
          <c:spPr>
            <a:solidFill>
              <a:srgbClr val="FF0000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'5. Адм. підтримка, політики'!$L$3:$N$3</c:f>
              <c:strCache>
                <c:ptCount val="3"/>
                <c:pt idx="0">
                  <c:v>Оцінювання - ДАТА 1</c:v>
                </c:pt>
                <c:pt idx="1">
                  <c:v>Оцінювання - ДАТА 2</c:v>
                </c:pt>
                <c:pt idx="2">
                  <c:v>Оцінювання - ДАТА 3</c:v>
                </c:pt>
              </c:strCache>
            </c:strRef>
          </c:cat>
          <c:val>
            <c:numRef>
              <c:f>'5. Адм. підтримка, політики'!$L$6:$N$6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A6-4A10-96EC-714C88C15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2685056"/>
        <c:axId val="952683392"/>
      </c:barChart>
      <c:valAx>
        <c:axId val="952683392"/>
        <c:scaling>
          <c:orientation val="minMax"/>
          <c:max val="1"/>
          <c:min val="0"/>
        </c:scaling>
        <c:delete val="0"/>
        <c:axPos val="b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52685056"/>
        <c:crosses val="autoZero"/>
        <c:crossBetween val="between"/>
      </c:valAx>
      <c:catAx>
        <c:axId val="9526850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526833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189097015047035"/>
          <c:y val="0.91167757952207606"/>
          <c:w val="0.37621792928057907"/>
          <c:h val="8.83224204779237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439688702619613"/>
          <c:y val="8.637868751244439E-4"/>
          <c:w val="0.78519476449133774"/>
          <c:h val="0.80720648082311763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'6. Соціальна інклюзія'!$K$4</c:f>
              <c:strCache>
                <c:ptCount val="1"/>
                <c:pt idx="0">
                  <c:v>Виконано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80-4889-97F0-695C41FEA8B5}"/>
              </c:ext>
            </c:extLst>
          </c:dPt>
          <c:cat>
            <c:strRef>
              <c:f>'6. Соціальна інклюзія'!$L$3:$N$3</c:f>
              <c:strCache>
                <c:ptCount val="3"/>
                <c:pt idx="0">
                  <c:v>Оцінювання - ДАТА 1</c:v>
                </c:pt>
                <c:pt idx="1">
                  <c:v>Оцінювання - ДАТА 2</c:v>
                </c:pt>
                <c:pt idx="2">
                  <c:v>Оцінювання - ДАТА 3</c:v>
                </c:pt>
              </c:strCache>
            </c:strRef>
          </c:cat>
          <c:val>
            <c:numRef>
              <c:f>'6. Соціальна інклюзія'!$L$4:$N$4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80-4889-97F0-695C41FEA8B5}"/>
            </c:ext>
          </c:extLst>
        </c:ser>
        <c:ser>
          <c:idx val="1"/>
          <c:order val="1"/>
          <c:tx>
            <c:strRef>
              <c:f>'6. Соціальна інклюзія'!$K$5</c:f>
              <c:strCache>
                <c:ptCount val="1"/>
                <c:pt idx="0">
                  <c:v>Частково виконано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'6. Соціальна інклюзія'!$L$3:$N$3</c:f>
              <c:strCache>
                <c:ptCount val="3"/>
                <c:pt idx="0">
                  <c:v>Оцінювання - ДАТА 1</c:v>
                </c:pt>
                <c:pt idx="1">
                  <c:v>Оцінювання - ДАТА 2</c:v>
                </c:pt>
                <c:pt idx="2">
                  <c:v>Оцінювання - ДАТА 3</c:v>
                </c:pt>
              </c:strCache>
            </c:strRef>
          </c:cat>
          <c:val>
            <c:numRef>
              <c:f>'6. Соціальна інклюзія'!$L$5:$N$5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80-4889-97F0-695C41FEA8B5}"/>
            </c:ext>
          </c:extLst>
        </c:ser>
        <c:ser>
          <c:idx val="2"/>
          <c:order val="2"/>
          <c:tx>
            <c:strRef>
              <c:f>'6. Соціальна інклюзія'!$K$6</c:f>
              <c:strCache>
                <c:ptCount val="1"/>
                <c:pt idx="0">
                  <c:v>Не виконано</c:v>
                </c:pt>
              </c:strCache>
            </c:strRef>
          </c:tx>
          <c:spPr>
            <a:solidFill>
              <a:srgbClr val="FF0000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'6. Соціальна інклюзія'!$L$3:$N$3</c:f>
              <c:strCache>
                <c:ptCount val="3"/>
                <c:pt idx="0">
                  <c:v>Оцінювання - ДАТА 1</c:v>
                </c:pt>
                <c:pt idx="1">
                  <c:v>Оцінювання - ДАТА 2</c:v>
                </c:pt>
                <c:pt idx="2">
                  <c:v>Оцінювання - ДАТА 3</c:v>
                </c:pt>
              </c:strCache>
            </c:strRef>
          </c:cat>
          <c:val>
            <c:numRef>
              <c:f>'6. Соціальна інклюзія'!$L$6:$N$6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80-4889-97F0-695C41FEA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2685056"/>
        <c:axId val="952683392"/>
      </c:barChart>
      <c:valAx>
        <c:axId val="952683392"/>
        <c:scaling>
          <c:orientation val="minMax"/>
          <c:max val="1"/>
          <c:min val="0"/>
        </c:scaling>
        <c:delete val="0"/>
        <c:axPos val="b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52685056"/>
        <c:crosses val="autoZero"/>
        <c:crossBetween val="between"/>
      </c:valAx>
      <c:catAx>
        <c:axId val="9526850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526833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44954843903298"/>
          <c:y val="8.637868751244439E-4"/>
          <c:w val="0.81509614013903209"/>
          <c:h val="0.80720648082311763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'Загальний результат'!$B$7</c:f>
              <c:strCache>
                <c:ptCount val="1"/>
                <c:pt idx="0">
                  <c:v>Виконано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A51-4C22-9744-180B8B574A4D}"/>
              </c:ext>
            </c:extLst>
          </c:dPt>
          <c:cat>
            <c:strRef>
              <c:f>'Загальний результат'!$C$6:$E$6</c:f>
              <c:strCache>
                <c:ptCount val="3"/>
                <c:pt idx="0">
                  <c:v>Оцінювання - ДАТА 1</c:v>
                </c:pt>
                <c:pt idx="1">
                  <c:v>Оцінювання - ДАТА 2</c:v>
                </c:pt>
                <c:pt idx="2">
                  <c:v>Оцінювання - ДАТА 3</c:v>
                </c:pt>
              </c:strCache>
            </c:strRef>
          </c:cat>
          <c:val>
            <c:numRef>
              <c:f>'Загальний результат'!$C$7:$E$7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51-4C22-9744-180B8B574A4D}"/>
            </c:ext>
          </c:extLst>
        </c:ser>
        <c:ser>
          <c:idx val="1"/>
          <c:order val="1"/>
          <c:tx>
            <c:strRef>
              <c:f>'Загальний результат'!$B$8</c:f>
              <c:strCache>
                <c:ptCount val="1"/>
                <c:pt idx="0">
                  <c:v>Частково виконано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'Загальний результат'!$C$6:$E$6</c:f>
              <c:strCache>
                <c:ptCount val="3"/>
                <c:pt idx="0">
                  <c:v>Оцінювання - ДАТА 1</c:v>
                </c:pt>
                <c:pt idx="1">
                  <c:v>Оцінювання - ДАТА 2</c:v>
                </c:pt>
                <c:pt idx="2">
                  <c:v>Оцінювання - ДАТА 3</c:v>
                </c:pt>
              </c:strCache>
            </c:strRef>
          </c:cat>
          <c:val>
            <c:numRef>
              <c:f>'Загальний результат'!$C$8:$E$8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51-4C22-9744-180B8B574A4D}"/>
            </c:ext>
          </c:extLst>
        </c:ser>
        <c:ser>
          <c:idx val="2"/>
          <c:order val="2"/>
          <c:tx>
            <c:strRef>
              <c:f>'Загальний результат'!$B$9</c:f>
              <c:strCache>
                <c:ptCount val="1"/>
                <c:pt idx="0">
                  <c:v>Не виконано</c:v>
                </c:pt>
              </c:strCache>
            </c:strRef>
          </c:tx>
          <c:spPr>
            <a:solidFill>
              <a:srgbClr val="FF0000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'Загальний результат'!$C$6:$E$6</c:f>
              <c:strCache>
                <c:ptCount val="3"/>
                <c:pt idx="0">
                  <c:v>Оцінювання - ДАТА 1</c:v>
                </c:pt>
                <c:pt idx="1">
                  <c:v>Оцінювання - ДАТА 2</c:v>
                </c:pt>
                <c:pt idx="2">
                  <c:v>Оцінювання - ДАТА 3</c:v>
                </c:pt>
              </c:strCache>
            </c:strRef>
          </c:cat>
          <c:val>
            <c:numRef>
              <c:f>'Загальний результат'!$C$9:$E$9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51-4C22-9744-180B8B574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2685056"/>
        <c:axId val="952683392"/>
      </c:barChart>
      <c:valAx>
        <c:axId val="952683392"/>
        <c:scaling>
          <c:orientation val="minMax"/>
          <c:max val="1"/>
          <c:min val="0"/>
        </c:scaling>
        <c:delete val="0"/>
        <c:axPos val="b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52685056"/>
        <c:crosses val="autoZero"/>
        <c:crossBetween val="between"/>
      </c:valAx>
      <c:catAx>
        <c:axId val="9526850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526833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1000704</xdr:colOff>
      <xdr:row>87</xdr:row>
      <xdr:rowOff>37204</xdr:rowOff>
    </xdr:from>
    <xdr:to>
      <xdr:col>11</xdr:col>
      <xdr:colOff>381000</xdr:colOff>
      <xdr:row>105</xdr:row>
      <xdr:rowOff>119742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35A6AAB-CF69-4347-988B-2FA7DBBC24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1073020</xdr:colOff>
      <xdr:row>4</xdr:row>
      <xdr:rowOff>102357</xdr:rowOff>
    </xdr:from>
    <xdr:to>
      <xdr:col>18</xdr:col>
      <xdr:colOff>598715</xdr:colOff>
      <xdr:row>14</xdr:row>
      <xdr:rowOff>85041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A5FAFFD-0F10-452B-93CD-82A583D9AC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1073019</xdr:colOff>
      <xdr:row>18</xdr:row>
      <xdr:rowOff>23131</xdr:rowOff>
    </xdr:from>
    <xdr:to>
      <xdr:col>18</xdr:col>
      <xdr:colOff>597477</xdr:colOff>
      <xdr:row>25</xdr:row>
      <xdr:rowOff>176893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A0DAF37-0B32-4176-8139-5ED5311ACB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1073018</xdr:colOff>
      <xdr:row>41</xdr:row>
      <xdr:rowOff>7825</xdr:rowOff>
    </xdr:from>
    <xdr:to>
      <xdr:col>18</xdr:col>
      <xdr:colOff>597476</xdr:colOff>
      <xdr:row>51</xdr:row>
      <xdr:rowOff>15989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347B9934-E50E-4C83-BC28-52A257823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1073019</xdr:colOff>
      <xdr:row>56</xdr:row>
      <xdr:rowOff>346253</xdr:rowOff>
    </xdr:from>
    <xdr:to>
      <xdr:col>18</xdr:col>
      <xdr:colOff>597477</xdr:colOff>
      <xdr:row>64</xdr:row>
      <xdr:rowOff>42882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EC0FCF2A-12A9-4E8E-ABC6-AB5D460833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12081</xdr:colOff>
      <xdr:row>67</xdr:row>
      <xdr:rowOff>10338</xdr:rowOff>
    </xdr:from>
    <xdr:to>
      <xdr:col>18</xdr:col>
      <xdr:colOff>609200</xdr:colOff>
      <xdr:row>73</xdr:row>
      <xdr:rowOff>175260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C2DB33D4-C855-461D-B6B1-3839C0ACF3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1073019</xdr:colOff>
      <xdr:row>76</xdr:row>
      <xdr:rowOff>416718</xdr:rowOff>
    </xdr:from>
    <xdr:to>
      <xdr:col>18</xdr:col>
      <xdr:colOff>597477</xdr:colOff>
      <xdr:row>84</xdr:row>
      <xdr:rowOff>139302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BF85A92A-6CA8-497F-82DE-61CEEB3B48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1093</xdr:rowOff>
    </xdr:from>
    <xdr:to>
      <xdr:col>18</xdr:col>
      <xdr:colOff>596348</xdr:colOff>
      <xdr:row>10</xdr:row>
      <xdr:rowOff>51288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DA1FA076-4A44-4834-BB6F-78B0423E33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336314</xdr:rowOff>
    </xdr:from>
    <xdr:to>
      <xdr:col>18</xdr:col>
      <xdr:colOff>600075</xdr:colOff>
      <xdr:row>12</xdr:row>
      <xdr:rowOff>98611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F9D80A0-59AB-4E6B-AC9B-2F181205DD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1712257</xdr:colOff>
      <xdr:row>2</xdr:row>
      <xdr:rowOff>2386</xdr:rowOff>
    </xdr:from>
    <xdr:to>
      <xdr:col>18</xdr:col>
      <xdr:colOff>600634</xdr:colOff>
      <xdr:row>10</xdr:row>
      <xdr:rowOff>170330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5AE99FF-810B-4445-BB0A-FCAD6ACFD3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2379</xdr:rowOff>
    </xdr:from>
    <xdr:to>
      <xdr:col>18</xdr:col>
      <xdr:colOff>600075</xdr:colOff>
      <xdr:row>10</xdr:row>
      <xdr:rowOff>19050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AB2E480-F48A-43CE-8759-54C579B7B7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354087</xdr:rowOff>
    </xdr:from>
    <xdr:to>
      <xdr:col>18</xdr:col>
      <xdr:colOff>598715</xdr:colOff>
      <xdr:row>9</xdr:row>
      <xdr:rowOff>10886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C2AFE68-0EF3-4D03-91DE-75472973FF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319255</xdr:colOff>
      <xdr:row>3</xdr:row>
      <xdr:rowOff>14287</xdr:rowOff>
    </xdr:from>
    <xdr:to>
      <xdr:col>12</xdr:col>
      <xdr:colOff>17929</xdr:colOff>
      <xdr:row>22</xdr:row>
      <xdr:rowOff>98612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357AB07-A774-4633-86D9-6E2A58FBAD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Стандартная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Стандартная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Стандартная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Стандартная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Стандартная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Стандартная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DC8FF-8C8A-49DC-B000-F1A5F0EBCB77}">
  <dimension ref="B1:S93"/>
  <sheetViews>
    <sheetView tabSelected="1" zoomScale="70" zoomScaleNormal="113" workbookViewId="0">
      <selection activeCell="D2" sqref="D2"/>
    </sheetView>
  </sheetViews>
  <sheetFormatPr defaultColWidth="8.88671875" defaultRowHeight="14.4" x14ac:dyDescent="0.3"/>
  <cols>
    <col min="1" max="1" width="3.33203125" style="25" customWidth="1"/>
    <col min="2" max="2" width="17.33203125" style="25" customWidth="1"/>
    <col min="3" max="3" width="87.44140625" style="25" customWidth="1"/>
    <col min="4" max="4" width="17.33203125" style="25" customWidth="1"/>
    <col min="5" max="5" width="17.5546875" style="25" customWidth="1"/>
    <col min="6" max="6" width="15.6640625" style="25" customWidth="1"/>
    <col min="7" max="9" width="2.109375" style="25" hidden="1" customWidth="1"/>
    <col min="10" max="10" width="8.88671875" style="25"/>
    <col min="11" max="11" width="18.5546875" style="25" bestFit="1" customWidth="1"/>
    <col min="12" max="12" width="11.33203125" style="25" customWidth="1"/>
    <col min="13" max="14" width="8.88671875" style="25" customWidth="1"/>
    <col min="15" max="15" width="15.109375" style="25" customWidth="1"/>
    <col min="16" max="16384" width="8.88671875" style="25"/>
  </cols>
  <sheetData>
    <row r="1" spans="2:19" ht="15" thickBot="1" x14ac:dyDescent="0.35">
      <c r="D1" s="91"/>
      <c r="E1" s="91"/>
      <c r="F1" s="91"/>
      <c r="G1" s="92"/>
      <c r="H1" s="92"/>
      <c r="I1" s="92"/>
      <c r="J1" s="92"/>
      <c r="K1" s="92"/>
      <c r="L1" s="92"/>
      <c r="M1" s="92"/>
      <c r="N1" s="92"/>
      <c r="O1" s="92"/>
    </row>
    <row r="2" spans="2:19" s="68" customFormat="1" ht="43.2" customHeight="1" thickBot="1" x14ac:dyDescent="0.35">
      <c r="B2" s="70" t="s">
        <v>147</v>
      </c>
      <c r="C2" s="70" t="s">
        <v>146</v>
      </c>
      <c r="D2" s="71" t="s">
        <v>155</v>
      </c>
      <c r="E2" s="71" t="s">
        <v>144</v>
      </c>
      <c r="F2" s="71" t="s">
        <v>143</v>
      </c>
      <c r="G2" s="102" t="s">
        <v>145</v>
      </c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4"/>
    </row>
    <row r="3" spans="2:19" ht="31.95" customHeight="1" thickBot="1" x14ac:dyDescent="0.35">
      <c r="B3" s="105" t="s">
        <v>10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7"/>
    </row>
    <row r="4" spans="2:19" x14ac:dyDescent="0.3">
      <c r="B4" s="93" t="s">
        <v>0</v>
      </c>
      <c r="C4" s="72" t="s">
        <v>1</v>
      </c>
      <c r="D4" s="73"/>
      <c r="E4" s="74"/>
      <c r="F4" s="75"/>
      <c r="G4" s="39" t="str">
        <f t="shared" ref="G4:H15" si="0">IF(D4="","",IF(D4="Так",2,0))</f>
        <v/>
      </c>
      <c r="H4" s="39" t="str">
        <f t="shared" ref="H4:H15" si="1">IF(E4="","",IF(E4="Так",2,0))</f>
        <v/>
      </c>
      <c r="I4" s="39" t="str">
        <f t="shared" ref="I4:I15" si="2">IF(F4="","",IF(F4="Так",2,0))</f>
        <v/>
      </c>
      <c r="J4" s="40"/>
      <c r="K4" s="40"/>
      <c r="L4" s="40"/>
      <c r="M4" s="40"/>
      <c r="N4" s="40"/>
      <c r="O4" s="40"/>
    </row>
    <row r="5" spans="2:19" ht="43.2" x14ac:dyDescent="0.3">
      <c r="B5" s="94"/>
      <c r="C5" s="41" t="s">
        <v>2</v>
      </c>
      <c r="D5" s="42"/>
      <c r="E5" s="43"/>
      <c r="F5" s="44"/>
      <c r="G5" s="45" t="str">
        <f t="shared" si="0"/>
        <v/>
      </c>
      <c r="H5" s="45" t="str">
        <f t="shared" si="1"/>
        <v/>
      </c>
      <c r="I5" s="45" t="str">
        <f t="shared" si="2"/>
        <v/>
      </c>
      <c r="J5" s="40"/>
      <c r="K5" s="40" t="s">
        <v>4</v>
      </c>
      <c r="L5" s="40"/>
      <c r="M5" s="40"/>
      <c r="N5" s="40"/>
      <c r="O5" s="40"/>
    </row>
    <row r="6" spans="2:19" x14ac:dyDescent="0.3">
      <c r="B6" s="94"/>
      <c r="C6" s="41" t="s">
        <v>11</v>
      </c>
      <c r="D6" s="42"/>
      <c r="E6" s="43"/>
      <c r="F6" s="44"/>
      <c r="G6" s="45" t="str">
        <f t="shared" si="0"/>
        <v/>
      </c>
      <c r="H6" s="45" t="str">
        <f t="shared" si="1"/>
        <v/>
      </c>
      <c r="I6" s="45" t="str">
        <f t="shared" si="2"/>
        <v/>
      </c>
      <c r="J6" s="40"/>
      <c r="K6" s="40" t="s">
        <v>5</v>
      </c>
      <c r="L6" s="40"/>
      <c r="M6" s="40"/>
      <c r="N6" s="40"/>
      <c r="O6" s="40"/>
    </row>
    <row r="7" spans="2:19" x14ac:dyDescent="0.3">
      <c r="B7" s="94"/>
      <c r="C7" s="41" t="s">
        <v>3</v>
      </c>
      <c r="D7" s="42"/>
      <c r="E7" s="43"/>
      <c r="F7" s="44"/>
      <c r="G7" s="45" t="str">
        <f t="shared" si="0"/>
        <v/>
      </c>
      <c r="H7" s="45" t="str">
        <f t="shared" si="0"/>
        <v/>
      </c>
      <c r="I7" s="45" t="str">
        <f t="shared" si="2"/>
        <v/>
      </c>
      <c r="J7" s="40"/>
      <c r="K7" s="40"/>
      <c r="L7" s="40"/>
      <c r="M7" s="40"/>
      <c r="N7" s="40"/>
      <c r="O7" s="40"/>
    </row>
    <row r="8" spans="2:19" ht="29.4" thickBot="1" x14ac:dyDescent="0.35">
      <c r="B8" s="98" t="s">
        <v>20</v>
      </c>
      <c r="C8" s="46" t="s">
        <v>12</v>
      </c>
      <c r="D8" s="42"/>
      <c r="E8" s="43"/>
      <c r="F8" s="44"/>
      <c r="G8" s="45" t="str">
        <f t="shared" si="0"/>
        <v/>
      </c>
      <c r="H8" s="45" t="str">
        <f t="shared" si="1"/>
        <v/>
      </c>
      <c r="I8" s="45" t="str">
        <f t="shared" si="2"/>
        <v/>
      </c>
      <c r="J8" s="40"/>
      <c r="K8" s="40"/>
      <c r="L8" s="40"/>
      <c r="M8" s="40"/>
      <c r="N8" s="40"/>
      <c r="O8" s="40"/>
    </row>
    <row r="9" spans="2:19" ht="29.4" thickBot="1" x14ac:dyDescent="0.35">
      <c r="B9" s="99"/>
      <c r="C9" s="46" t="s">
        <v>13</v>
      </c>
      <c r="D9" s="42"/>
      <c r="E9" s="43"/>
      <c r="F9" s="44"/>
      <c r="G9" s="45" t="str">
        <f t="shared" si="0"/>
        <v/>
      </c>
      <c r="H9" s="45" t="str">
        <f t="shared" si="1"/>
        <v/>
      </c>
      <c r="I9" s="45" t="str">
        <f t="shared" si="2"/>
        <v/>
      </c>
      <c r="J9" s="40"/>
      <c r="K9" s="47" t="s">
        <v>109</v>
      </c>
      <c r="L9" s="48" t="str">
        <f>D2</f>
        <v>Оцінювання - ДАТА 1</v>
      </c>
      <c r="M9" s="48" t="str">
        <f>E2</f>
        <v>Оцінювання - ДАТА 2</v>
      </c>
      <c r="N9" s="48" t="str">
        <f>F2</f>
        <v>Оцінювання - ДАТА 3</v>
      </c>
      <c r="O9" s="40"/>
    </row>
    <row r="10" spans="2:19" ht="15" thickBot="1" x14ac:dyDescent="0.35">
      <c r="B10" s="99"/>
      <c r="C10" s="46" t="s">
        <v>14</v>
      </c>
      <c r="D10" s="42"/>
      <c r="E10" s="43"/>
      <c r="F10" s="44"/>
      <c r="G10" s="45" t="str">
        <f t="shared" si="0"/>
        <v/>
      </c>
      <c r="H10" s="45" t="str">
        <f t="shared" si="1"/>
        <v/>
      </c>
      <c r="I10" s="45" t="str">
        <f t="shared" si="2"/>
        <v/>
      </c>
      <c r="J10" s="40"/>
      <c r="K10" s="49" t="s">
        <v>6</v>
      </c>
      <c r="L10" s="50">
        <f>COUNTIF(G4:G15,2)</f>
        <v>0</v>
      </c>
      <c r="M10" s="50">
        <f t="shared" ref="M10:N10" si="3">COUNTIF(H4:H15,2)</f>
        <v>0</v>
      </c>
      <c r="N10" s="50">
        <f t="shared" si="3"/>
        <v>0</v>
      </c>
      <c r="O10" s="40"/>
    </row>
    <row r="11" spans="2:19" ht="29.4" thickBot="1" x14ac:dyDescent="0.35">
      <c r="B11" s="99"/>
      <c r="C11" s="46" t="s">
        <v>15</v>
      </c>
      <c r="D11" s="42"/>
      <c r="E11" s="43"/>
      <c r="F11" s="44"/>
      <c r="G11" s="45" t="str">
        <f t="shared" si="0"/>
        <v/>
      </c>
      <c r="H11" s="45" t="str">
        <f t="shared" si="1"/>
        <v/>
      </c>
      <c r="I11" s="45" t="str">
        <f t="shared" si="2"/>
        <v/>
      </c>
      <c r="J11" s="40"/>
      <c r="K11" s="51" t="s">
        <v>8</v>
      </c>
      <c r="L11" s="52">
        <f>COUNTIF(G4:G15,1)</f>
        <v>0</v>
      </c>
      <c r="M11" s="52">
        <f t="shared" ref="M11:N11" si="4">COUNTIF(H4:H15,1)</f>
        <v>0</v>
      </c>
      <c r="N11" s="52">
        <f t="shared" si="4"/>
        <v>0</v>
      </c>
      <c r="O11" s="40"/>
    </row>
    <row r="12" spans="2:19" ht="15" thickBot="1" x14ac:dyDescent="0.35">
      <c r="B12" s="99"/>
      <c r="C12" s="46" t="s">
        <v>16</v>
      </c>
      <c r="D12" s="42"/>
      <c r="E12" s="43"/>
      <c r="F12" s="44"/>
      <c r="G12" s="45" t="str">
        <f t="shared" si="0"/>
        <v/>
      </c>
      <c r="H12" s="45" t="str">
        <f t="shared" si="1"/>
        <v/>
      </c>
      <c r="I12" s="45" t="str">
        <f t="shared" si="2"/>
        <v/>
      </c>
      <c r="J12" s="40"/>
      <c r="K12" s="53" t="s">
        <v>7</v>
      </c>
      <c r="L12" s="54">
        <f>COUNTIF(G4:G15,0)</f>
        <v>0</v>
      </c>
      <c r="M12" s="54">
        <f>COUNTIF(H4:H15,0)</f>
        <v>0</v>
      </c>
      <c r="N12" s="54">
        <f>COUNTIF(I4:I15,0)</f>
        <v>0</v>
      </c>
      <c r="O12" s="40"/>
    </row>
    <row r="13" spans="2:19" x14ac:dyDescent="0.3">
      <c r="B13" s="99"/>
      <c r="C13" s="46" t="s">
        <v>17</v>
      </c>
      <c r="D13" s="42"/>
      <c r="E13" s="43"/>
      <c r="F13" s="44"/>
      <c r="G13" s="45" t="str">
        <f t="shared" si="0"/>
        <v/>
      </c>
      <c r="H13" s="45" t="str">
        <f t="shared" si="1"/>
        <v/>
      </c>
      <c r="I13" s="45" t="str">
        <f t="shared" si="2"/>
        <v/>
      </c>
      <c r="J13" s="40"/>
      <c r="K13" s="40"/>
      <c r="L13" s="40"/>
      <c r="M13" s="40"/>
      <c r="N13" s="40"/>
      <c r="O13" s="40"/>
    </row>
    <row r="14" spans="2:19" ht="28.8" x14ac:dyDescent="0.3">
      <c r="B14" s="99"/>
      <c r="C14" s="46" t="s">
        <v>18</v>
      </c>
      <c r="D14" s="42"/>
      <c r="E14" s="43"/>
      <c r="F14" s="44"/>
      <c r="G14" s="45" t="str">
        <f t="shared" si="0"/>
        <v/>
      </c>
      <c r="H14" s="45" t="str">
        <f t="shared" si="1"/>
        <v/>
      </c>
      <c r="I14" s="45" t="str">
        <f t="shared" si="2"/>
        <v/>
      </c>
      <c r="J14" s="40"/>
      <c r="K14" s="40"/>
      <c r="L14" s="40"/>
      <c r="M14" s="40"/>
      <c r="N14" s="40"/>
      <c r="O14" s="40"/>
    </row>
    <row r="15" spans="2:19" ht="29.4" thickBot="1" x14ac:dyDescent="0.35">
      <c r="B15" s="99"/>
      <c r="C15" s="76" t="s">
        <v>19</v>
      </c>
      <c r="D15" s="77"/>
      <c r="E15" s="78"/>
      <c r="F15" s="79"/>
      <c r="G15" s="58" t="str">
        <f t="shared" si="0"/>
        <v/>
      </c>
      <c r="H15" s="58" t="str">
        <f t="shared" si="1"/>
        <v/>
      </c>
      <c r="I15" s="58" t="str">
        <f t="shared" si="2"/>
        <v/>
      </c>
      <c r="J15" s="40"/>
      <c r="K15" s="40"/>
      <c r="L15" s="40"/>
      <c r="M15" s="40"/>
      <c r="N15" s="40"/>
      <c r="O15" s="40"/>
    </row>
    <row r="16" spans="2:19" ht="33.6" customHeight="1" thickBot="1" x14ac:dyDescent="0.35">
      <c r="B16" s="108" t="s">
        <v>21</v>
      </c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10"/>
    </row>
    <row r="17" spans="2:15" ht="28.8" x14ac:dyDescent="0.3">
      <c r="B17" s="100" t="s">
        <v>148</v>
      </c>
      <c r="C17" s="80" t="s">
        <v>22</v>
      </c>
      <c r="D17" s="73"/>
      <c r="E17" s="74"/>
      <c r="F17" s="75"/>
      <c r="G17" s="39" t="str">
        <f t="shared" ref="G17:G38" si="5">IF(D17="","",IF(D17="Так",2,0))</f>
        <v/>
      </c>
      <c r="H17" s="39" t="str">
        <f t="shared" ref="H17:H38" si="6">IF(E17="","",IF(E17="Так",2,0))</f>
        <v/>
      </c>
      <c r="I17" s="39" t="str">
        <f t="shared" ref="I17:I38" si="7">IF(F17="","",IF(F17="Так",2,0))</f>
        <v/>
      </c>
      <c r="J17" s="40"/>
      <c r="K17" s="40"/>
      <c r="L17" s="40"/>
      <c r="M17" s="40"/>
      <c r="N17" s="40"/>
      <c r="O17" s="40"/>
    </row>
    <row r="18" spans="2:15" x14ac:dyDescent="0.3">
      <c r="B18" s="100"/>
      <c r="C18" s="46" t="s">
        <v>23</v>
      </c>
      <c r="D18" s="42"/>
      <c r="E18" s="43"/>
      <c r="F18" s="44"/>
      <c r="G18" s="45" t="str">
        <f t="shared" si="5"/>
        <v/>
      </c>
      <c r="H18" s="45" t="str">
        <f t="shared" si="6"/>
        <v/>
      </c>
      <c r="I18" s="45" t="str">
        <f t="shared" si="7"/>
        <v/>
      </c>
      <c r="J18" s="40"/>
      <c r="K18" s="40"/>
      <c r="L18" s="40"/>
      <c r="M18" s="40"/>
      <c r="N18" s="40"/>
      <c r="O18" s="40"/>
    </row>
    <row r="19" spans="2:15" ht="28.8" x14ac:dyDescent="0.3">
      <c r="B19" s="101"/>
      <c r="C19" s="46" t="s">
        <v>24</v>
      </c>
      <c r="D19" s="42"/>
      <c r="E19" s="43"/>
      <c r="F19" s="44"/>
      <c r="G19" s="45" t="str">
        <f t="shared" si="5"/>
        <v/>
      </c>
      <c r="H19" s="45" t="str">
        <f t="shared" si="6"/>
        <v/>
      </c>
      <c r="I19" s="45" t="str">
        <f t="shared" si="7"/>
        <v/>
      </c>
      <c r="J19" s="40"/>
      <c r="K19" s="40"/>
      <c r="L19" s="40"/>
      <c r="M19" s="40"/>
      <c r="N19" s="40"/>
      <c r="O19" s="40"/>
    </row>
    <row r="20" spans="2:15" ht="29.4" thickBot="1" x14ac:dyDescent="0.35">
      <c r="B20" s="85" t="s">
        <v>25</v>
      </c>
      <c r="C20" s="46" t="s">
        <v>26</v>
      </c>
      <c r="D20" s="42"/>
      <c r="E20" s="43"/>
      <c r="F20" s="44"/>
      <c r="G20" s="45" t="str">
        <f t="shared" si="5"/>
        <v/>
      </c>
      <c r="H20" s="45" t="str">
        <f t="shared" si="6"/>
        <v/>
      </c>
      <c r="I20" s="45" t="str">
        <f t="shared" si="7"/>
        <v/>
      </c>
      <c r="J20" s="40"/>
      <c r="K20" s="40"/>
      <c r="L20" s="40"/>
      <c r="M20" s="40"/>
      <c r="N20" s="40"/>
      <c r="O20" s="40"/>
    </row>
    <row r="21" spans="2:15" ht="29.4" thickBot="1" x14ac:dyDescent="0.35">
      <c r="B21" s="98" t="s">
        <v>27</v>
      </c>
      <c r="C21" s="46" t="s">
        <v>28</v>
      </c>
      <c r="D21" s="42"/>
      <c r="E21" s="43"/>
      <c r="F21" s="44"/>
      <c r="G21" s="45" t="str">
        <f t="shared" si="5"/>
        <v/>
      </c>
      <c r="H21" s="45" t="str">
        <f t="shared" si="6"/>
        <v/>
      </c>
      <c r="I21" s="45" t="str">
        <f t="shared" si="7"/>
        <v/>
      </c>
      <c r="J21" s="40"/>
      <c r="K21" s="47" t="s">
        <v>109</v>
      </c>
      <c r="L21" s="48" t="str">
        <f>$D$2</f>
        <v>Оцінювання - ДАТА 1</v>
      </c>
      <c r="M21" s="48" t="str">
        <f>$E$2</f>
        <v>Оцінювання - ДАТА 2</v>
      </c>
      <c r="N21" s="48" t="str">
        <f>$F$2</f>
        <v>Оцінювання - ДАТА 3</v>
      </c>
      <c r="O21" s="40"/>
    </row>
    <row r="22" spans="2:15" ht="43.8" thickBot="1" x14ac:dyDescent="0.35">
      <c r="B22" s="99"/>
      <c r="C22" s="46" t="s">
        <v>29</v>
      </c>
      <c r="D22" s="42"/>
      <c r="E22" s="43"/>
      <c r="F22" s="44"/>
      <c r="G22" s="45" t="str">
        <f t="shared" si="5"/>
        <v/>
      </c>
      <c r="H22" s="45" t="str">
        <f t="shared" si="6"/>
        <v/>
      </c>
      <c r="I22" s="45" t="str">
        <f t="shared" si="7"/>
        <v/>
      </c>
      <c r="J22" s="40"/>
      <c r="K22" s="49" t="s">
        <v>6</v>
      </c>
      <c r="L22" s="50">
        <f>COUNTIF(G17:G38,2)</f>
        <v>0</v>
      </c>
      <c r="M22" s="50">
        <f>COUNTIF(H17:H38,2)</f>
        <v>0</v>
      </c>
      <c r="N22" s="50">
        <f>COUNTIF(I17:I38,2)</f>
        <v>0</v>
      </c>
      <c r="O22" s="40"/>
    </row>
    <row r="23" spans="2:15" ht="29.4" thickBot="1" x14ac:dyDescent="0.35">
      <c r="B23" s="99"/>
      <c r="C23" s="46" t="s">
        <v>30</v>
      </c>
      <c r="D23" s="42"/>
      <c r="E23" s="43"/>
      <c r="F23" s="44"/>
      <c r="G23" s="45" t="str">
        <f t="shared" si="5"/>
        <v/>
      </c>
      <c r="H23" s="45" t="str">
        <f t="shared" si="6"/>
        <v/>
      </c>
      <c r="I23" s="45" t="str">
        <f t="shared" si="7"/>
        <v/>
      </c>
      <c r="J23" s="40"/>
      <c r="K23" s="51" t="s">
        <v>8</v>
      </c>
      <c r="L23" s="52">
        <f>COUNTIF(G17:G38,1)</f>
        <v>0</v>
      </c>
      <c r="M23" s="52">
        <f>COUNTIF(H17:H38,1)</f>
        <v>0</v>
      </c>
      <c r="N23" s="52">
        <f>COUNTIF(I17:I38,1)</f>
        <v>0</v>
      </c>
      <c r="O23" s="40"/>
    </row>
    <row r="24" spans="2:15" ht="29.4" thickBot="1" x14ac:dyDescent="0.35">
      <c r="B24" s="99"/>
      <c r="C24" s="46" t="s">
        <v>31</v>
      </c>
      <c r="D24" s="42"/>
      <c r="E24" s="43"/>
      <c r="F24" s="44"/>
      <c r="G24" s="45" t="str">
        <f t="shared" si="5"/>
        <v/>
      </c>
      <c r="H24" s="45" t="str">
        <f t="shared" si="6"/>
        <v/>
      </c>
      <c r="I24" s="45" t="str">
        <f t="shared" si="7"/>
        <v/>
      </c>
      <c r="J24" s="40"/>
      <c r="K24" s="53" t="s">
        <v>7</v>
      </c>
      <c r="L24" s="54">
        <f>COUNTIF(G17:G38,0)</f>
        <v>0</v>
      </c>
      <c r="M24" s="54">
        <f>COUNTIF(H17:H38,0)</f>
        <v>0</v>
      </c>
      <c r="N24" s="54">
        <f>COUNTIF(I17:I38,0)</f>
        <v>0</v>
      </c>
      <c r="O24" s="40"/>
    </row>
    <row r="25" spans="2:15" x14ac:dyDescent="0.3">
      <c r="B25" s="99"/>
      <c r="C25" s="46" t="s">
        <v>32</v>
      </c>
      <c r="D25" s="42"/>
      <c r="E25" s="43"/>
      <c r="F25" s="44"/>
      <c r="G25" s="45" t="str">
        <f t="shared" si="5"/>
        <v/>
      </c>
      <c r="H25" s="45" t="str">
        <f t="shared" si="6"/>
        <v/>
      </c>
      <c r="I25" s="45" t="str">
        <f t="shared" si="7"/>
        <v/>
      </c>
      <c r="J25" s="40"/>
      <c r="K25" s="40"/>
      <c r="L25" s="40"/>
      <c r="M25" s="40"/>
      <c r="N25" s="40"/>
      <c r="O25" s="40"/>
    </row>
    <row r="26" spans="2:15" x14ac:dyDescent="0.3">
      <c r="B26" s="93"/>
      <c r="C26" s="46" t="s">
        <v>33</v>
      </c>
      <c r="D26" s="42"/>
      <c r="E26" s="43"/>
      <c r="F26" s="44"/>
      <c r="G26" s="45" t="str">
        <f t="shared" si="5"/>
        <v/>
      </c>
      <c r="H26" s="45" t="str">
        <f t="shared" si="6"/>
        <v/>
      </c>
      <c r="I26" s="45" t="str">
        <f t="shared" si="7"/>
        <v/>
      </c>
      <c r="J26" s="40"/>
      <c r="K26" s="40"/>
      <c r="L26" s="40"/>
      <c r="M26" s="40"/>
      <c r="N26" s="40"/>
      <c r="O26" s="40"/>
    </row>
    <row r="27" spans="2:15" ht="29.4" customHeight="1" x14ac:dyDescent="0.3">
      <c r="B27" s="85" t="s">
        <v>34</v>
      </c>
      <c r="C27" s="41" t="s">
        <v>35</v>
      </c>
      <c r="D27" s="42"/>
      <c r="E27" s="43"/>
      <c r="F27" s="44"/>
      <c r="G27" s="45" t="str">
        <f t="shared" si="5"/>
        <v/>
      </c>
      <c r="H27" s="45" t="str">
        <f t="shared" si="6"/>
        <v/>
      </c>
      <c r="I27" s="45" t="str">
        <f t="shared" si="7"/>
        <v/>
      </c>
      <c r="J27" s="40"/>
      <c r="K27" s="40"/>
      <c r="L27" s="40"/>
      <c r="M27" s="40"/>
      <c r="N27" s="40"/>
      <c r="O27" s="40"/>
    </row>
    <row r="28" spans="2:15" ht="23.4" customHeight="1" x14ac:dyDescent="0.3">
      <c r="B28" s="98" t="s">
        <v>36</v>
      </c>
      <c r="C28" s="41" t="s">
        <v>37</v>
      </c>
      <c r="D28" s="42"/>
      <c r="E28" s="43"/>
      <c r="F28" s="44"/>
      <c r="G28" s="45" t="str">
        <f t="shared" si="5"/>
        <v/>
      </c>
      <c r="H28" s="45" t="str">
        <f t="shared" si="6"/>
        <v/>
      </c>
      <c r="I28" s="45" t="str">
        <f t="shared" si="7"/>
        <v/>
      </c>
      <c r="J28" s="40"/>
      <c r="K28" s="40"/>
      <c r="L28" s="40"/>
      <c r="M28" s="40"/>
      <c r="N28" s="40"/>
      <c r="O28" s="40"/>
    </row>
    <row r="29" spans="2:15" ht="43.2" x14ac:dyDescent="0.3">
      <c r="B29" s="99"/>
      <c r="C29" s="46" t="s">
        <v>38</v>
      </c>
      <c r="D29" s="42"/>
      <c r="E29" s="43"/>
      <c r="F29" s="44"/>
      <c r="G29" s="45" t="str">
        <f t="shared" si="5"/>
        <v/>
      </c>
      <c r="H29" s="45" t="str">
        <f t="shared" si="6"/>
        <v/>
      </c>
      <c r="I29" s="45" t="str">
        <f t="shared" si="7"/>
        <v/>
      </c>
      <c r="J29" s="40"/>
      <c r="K29" s="40"/>
      <c r="L29" s="40"/>
      <c r="M29" s="40"/>
      <c r="N29" s="40"/>
      <c r="O29" s="40"/>
    </row>
    <row r="30" spans="2:15" x14ac:dyDescent="0.3">
      <c r="B30" s="93"/>
      <c r="C30" s="46" t="s">
        <v>39</v>
      </c>
      <c r="D30" s="42"/>
      <c r="E30" s="43"/>
      <c r="F30" s="44"/>
      <c r="G30" s="45" t="str">
        <f t="shared" si="5"/>
        <v/>
      </c>
      <c r="H30" s="45" t="str">
        <f t="shared" si="6"/>
        <v/>
      </c>
      <c r="I30" s="45" t="str">
        <f t="shared" si="7"/>
        <v/>
      </c>
      <c r="J30" s="40"/>
      <c r="K30" s="40"/>
      <c r="L30" s="40"/>
      <c r="M30" s="40"/>
      <c r="N30" s="40"/>
      <c r="O30" s="40"/>
    </row>
    <row r="31" spans="2:15" x14ac:dyDescent="0.3">
      <c r="B31" s="98" t="s">
        <v>40</v>
      </c>
      <c r="C31" s="46" t="s">
        <v>41</v>
      </c>
      <c r="D31" s="42"/>
      <c r="E31" s="43"/>
      <c r="F31" s="44"/>
      <c r="G31" s="45" t="str">
        <f t="shared" si="5"/>
        <v/>
      </c>
      <c r="H31" s="45" t="str">
        <f t="shared" si="6"/>
        <v/>
      </c>
      <c r="I31" s="45" t="str">
        <f t="shared" si="7"/>
        <v/>
      </c>
      <c r="J31" s="40"/>
      <c r="K31" s="40"/>
      <c r="L31" s="40"/>
      <c r="M31" s="40"/>
      <c r="N31" s="40"/>
      <c r="O31" s="40"/>
    </row>
    <row r="32" spans="2:15" x14ac:dyDescent="0.3">
      <c r="B32" s="99"/>
      <c r="C32" s="46" t="s">
        <v>42</v>
      </c>
      <c r="D32" s="42"/>
      <c r="E32" s="43"/>
      <c r="F32" s="44"/>
      <c r="G32" s="45" t="str">
        <f t="shared" si="5"/>
        <v/>
      </c>
      <c r="H32" s="45" t="str">
        <f t="shared" si="6"/>
        <v/>
      </c>
      <c r="I32" s="45" t="str">
        <f t="shared" si="7"/>
        <v/>
      </c>
      <c r="J32" s="40"/>
      <c r="K32" s="40"/>
      <c r="L32" s="40"/>
      <c r="M32" s="40"/>
      <c r="N32" s="40"/>
      <c r="O32" s="40"/>
    </row>
    <row r="33" spans="2:19" ht="28.8" x14ac:dyDescent="0.3">
      <c r="B33" s="99"/>
      <c r="C33" s="46" t="s">
        <v>43</v>
      </c>
      <c r="D33" s="42"/>
      <c r="E33" s="43"/>
      <c r="F33" s="44"/>
      <c r="G33" s="45" t="str">
        <f t="shared" si="5"/>
        <v/>
      </c>
      <c r="H33" s="45" t="str">
        <f t="shared" si="6"/>
        <v/>
      </c>
      <c r="I33" s="45" t="str">
        <f t="shared" si="7"/>
        <v/>
      </c>
      <c r="J33" s="40"/>
      <c r="K33" s="40"/>
      <c r="L33" s="40"/>
      <c r="M33" s="40"/>
      <c r="N33" s="40"/>
      <c r="O33" s="40"/>
    </row>
    <row r="34" spans="2:19" ht="28.8" x14ac:dyDescent="0.3">
      <c r="B34" s="93"/>
      <c r="C34" s="46" t="s">
        <v>44</v>
      </c>
      <c r="D34" s="42"/>
      <c r="E34" s="43"/>
      <c r="F34" s="44"/>
      <c r="G34" s="45" t="str">
        <f t="shared" si="5"/>
        <v/>
      </c>
      <c r="H34" s="45" t="str">
        <f t="shared" si="6"/>
        <v/>
      </c>
      <c r="I34" s="45" t="str">
        <f t="shared" si="7"/>
        <v/>
      </c>
      <c r="J34" s="40"/>
      <c r="K34" s="40"/>
      <c r="L34" s="40"/>
      <c r="M34" s="40"/>
      <c r="N34" s="40"/>
      <c r="O34" s="40"/>
    </row>
    <row r="35" spans="2:19" x14ac:dyDescent="0.3">
      <c r="B35" s="98" t="s">
        <v>45</v>
      </c>
      <c r="C35" s="46" t="s">
        <v>46</v>
      </c>
      <c r="D35" s="42"/>
      <c r="E35" s="43"/>
      <c r="F35" s="44"/>
      <c r="G35" s="45" t="str">
        <f t="shared" si="5"/>
        <v/>
      </c>
      <c r="H35" s="45" t="str">
        <f t="shared" si="6"/>
        <v/>
      </c>
      <c r="I35" s="45" t="str">
        <f t="shared" si="7"/>
        <v/>
      </c>
      <c r="J35" s="40"/>
      <c r="K35" s="40"/>
      <c r="L35" s="40"/>
      <c r="M35" s="40"/>
      <c r="N35" s="40"/>
      <c r="O35" s="40"/>
    </row>
    <row r="36" spans="2:19" ht="28.8" x14ac:dyDescent="0.3">
      <c r="B36" s="93"/>
      <c r="C36" s="46" t="s">
        <v>47</v>
      </c>
      <c r="D36" s="42"/>
      <c r="E36" s="43"/>
      <c r="F36" s="44"/>
      <c r="G36" s="45" t="str">
        <f t="shared" si="5"/>
        <v/>
      </c>
      <c r="H36" s="45" t="str">
        <f t="shared" si="6"/>
        <v/>
      </c>
      <c r="I36" s="45" t="str">
        <f t="shared" si="7"/>
        <v/>
      </c>
      <c r="J36" s="40"/>
      <c r="K36" s="40"/>
      <c r="L36" s="40"/>
      <c r="M36" s="40"/>
      <c r="N36" s="40"/>
      <c r="O36" s="40"/>
    </row>
    <row r="37" spans="2:19" ht="28.8" x14ac:dyDescent="0.3">
      <c r="B37" s="59" t="s">
        <v>48</v>
      </c>
      <c r="C37" s="46" t="s">
        <v>50</v>
      </c>
      <c r="D37" s="42"/>
      <c r="E37" s="43"/>
      <c r="F37" s="44"/>
      <c r="G37" s="45" t="str">
        <f t="shared" si="5"/>
        <v/>
      </c>
      <c r="H37" s="45" t="str">
        <f t="shared" si="6"/>
        <v/>
      </c>
      <c r="I37" s="45" t="str">
        <f t="shared" si="7"/>
        <v/>
      </c>
      <c r="J37" s="40"/>
      <c r="K37" s="40"/>
      <c r="L37" s="40"/>
      <c r="M37" s="40"/>
      <c r="N37" s="40"/>
      <c r="O37" s="40"/>
    </row>
    <row r="38" spans="2:19" ht="29.4" thickBot="1" x14ac:dyDescent="0.35">
      <c r="B38" s="69" t="s">
        <v>49</v>
      </c>
      <c r="C38" s="76" t="s">
        <v>51</v>
      </c>
      <c r="D38" s="77"/>
      <c r="E38" s="78"/>
      <c r="F38" s="79"/>
      <c r="G38" s="58" t="str">
        <f t="shared" si="5"/>
        <v/>
      </c>
      <c r="H38" s="58" t="str">
        <f t="shared" si="6"/>
        <v/>
      </c>
      <c r="I38" s="58" t="str">
        <f t="shared" si="7"/>
        <v/>
      </c>
      <c r="J38" s="40"/>
      <c r="K38" s="40"/>
      <c r="L38" s="40"/>
      <c r="M38" s="40"/>
      <c r="N38" s="40"/>
      <c r="O38" s="40"/>
    </row>
    <row r="39" spans="2:19" ht="33" customHeight="1" thickBot="1" x14ac:dyDescent="0.35">
      <c r="B39" s="108" t="s">
        <v>52</v>
      </c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10"/>
    </row>
    <row r="40" spans="2:19" ht="28.8" x14ac:dyDescent="0.3">
      <c r="B40" s="86" t="s">
        <v>53</v>
      </c>
      <c r="C40" s="72" t="s">
        <v>54</v>
      </c>
      <c r="D40" s="73"/>
      <c r="E40" s="74"/>
      <c r="F40" s="75"/>
      <c r="G40" s="39" t="str">
        <f t="shared" ref="G40:G54" si="8">IF(D40="","",IF(D40="Так",2,0))</f>
        <v/>
      </c>
      <c r="H40" s="39" t="str">
        <f t="shared" ref="H40:H54" si="9">IF(E40="","",IF(E40="Так",2,0))</f>
        <v/>
      </c>
      <c r="I40" s="39" t="str">
        <f t="shared" ref="I40:I54" si="10">IF(F40="","",IF(F40="Так",2,0))</f>
        <v/>
      </c>
      <c r="J40" s="40"/>
      <c r="K40" s="40"/>
      <c r="L40" s="40"/>
      <c r="M40" s="40"/>
      <c r="N40" s="40"/>
      <c r="O40" s="40"/>
    </row>
    <row r="41" spans="2:19" x14ac:dyDescent="0.3">
      <c r="B41" s="95" t="s">
        <v>55</v>
      </c>
      <c r="C41" s="46" t="s">
        <v>56</v>
      </c>
      <c r="D41" s="42"/>
      <c r="E41" s="43"/>
      <c r="F41" s="44"/>
      <c r="G41" s="45" t="str">
        <f t="shared" si="8"/>
        <v/>
      </c>
      <c r="H41" s="45" t="str">
        <f t="shared" si="9"/>
        <v/>
      </c>
      <c r="I41" s="45" t="str">
        <f t="shared" si="10"/>
        <v/>
      </c>
      <c r="J41" s="40"/>
      <c r="K41" s="40"/>
      <c r="L41" s="40"/>
      <c r="M41" s="40"/>
      <c r="N41" s="40"/>
      <c r="O41" s="40"/>
    </row>
    <row r="42" spans="2:19" x14ac:dyDescent="0.3">
      <c r="B42" s="96"/>
      <c r="C42" s="46" t="s">
        <v>57</v>
      </c>
      <c r="D42" s="42"/>
      <c r="E42" s="43"/>
      <c r="F42" s="44"/>
      <c r="G42" s="45" t="str">
        <f t="shared" si="8"/>
        <v/>
      </c>
      <c r="H42" s="45" t="str">
        <f t="shared" si="9"/>
        <v/>
      </c>
      <c r="I42" s="45" t="str">
        <f t="shared" si="10"/>
        <v/>
      </c>
      <c r="J42" s="40"/>
      <c r="K42" s="40"/>
      <c r="L42" s="40"/>
      <c r="M42" s="40"/>
      <c r="N42" s="40"/>
      <c r="O42" s="40"/>
    </row>
    <row r="43" spans="2:19" x14ac:dyDescent="0.3">
      <c r="B43" s="96"/>
      <c r="C43" s="46" t="s">
        <v>58</v>
      </c>
      <c r="D43" s="42"/>
      <c r="E43" s="43"/>
      <c r="F43" s="44"/>
      <c r="G43" s="45" t="str">
        <f t="shared" si="8"/>
        <v/>
      </c>
      <c r="H43" s="45" t="str">
        <f t="shared" si="9"/>
        <v/>
      </c>
      <c r="I43" s="45" t="str">
        <f t="shared" si="10"/>
        <v/>
      </c>
      <c r="J43" s="40"/>
      <c r="K43" s="40"/>
      <c r="L43" s="40"/>
      <c r="M43" s="40"/>
      <c r="N43" s="40"/>
      <c r="O43" s="40"/>
    </row>
    <row r="44" spans="2:19" ht="15" thickBot="1" x14ac:dyDescent="0.35">
      <c r="B44" s="97"/>
      <c r="C44" s="46" t="s">
        <v>59</v>
      </c>
      <c r="D44" s="42"/>
      <c r="E44" s="43"/>
      <c r="F44" s="44"/>
      <c r="G44" s="45" t="str">
        <f t="shared" si="8"/>
        <v/>
      </c>
      <c r="H44" s="45" t="str">
        <f t="shared" si="9"/>
        <v/>
      </c>
      <c r="I44" s="45" t="str">
        <f t="shared" si="10"/>
        <v/>
      </c>
      <c r="J44" s="40"/>
      <c r="K44" s="40"/>
      <c r="L44" s="40"/>
      <c r="M44" s="40"/>
      <c r="N44" s="40"/>
      <c r="O44" s="40"/>
    </row>
    <row r="45" spans="2:19" ht="15" thickBot="1" x14ac:dyDescent="0.35">
      <c r="B45" s="87" t="s">
        <v>60</v>
      </c>
      <c r="C45" s="46" t="s">
        <v>61</v>
      </c>
      <c r="D45" s="42"/>
      <c r="E45" s="43"/>
      <c r="F45" s="44"/>
      <c r="G45" s="45" t="str">
        <f t="shared" si="8"/>
        <v/>
      </c>
      <c r="H45" s="45" t="str">
        <f t="shared" si="9"/>
        <v/>
      </c>
      <c r="I45" s="45" t="str">
        <f t="shared" si="10"/>
        <v/>
      </c>
      <c r="J45" s="40"/>
      <c r="K45" s="47" t="s">
        <v>109</v>
      </c>
      <c r="L45" s="48" t="str">
        <f>$D$2</f>
        <v>Оцінювання - ДАТА 1</v>
      </c>
      <c r="M45" s="48" t="str">
        <f>$E$2</f>
        <v>Оцінювання - ДАТА 2</v>
      </c>
      <c r="N45" s="48" t="str">
        <f>$F$2</f>
        <v>Оцінювання - ДАТА 3</v>
      </c>
      <c r="O45" s="40"/>
    </row>
    <row r="46" spans="2:19" ht="15" thickBot="1" x14ac:dyDescent="0.35">
      <c r="B46" s="111" t="s">
        <v>62</v>
      </c>
      <c r="C46" s="46" t="s">
        <v>63</v>
      </c>
      <c r="D46" s="42"/>
      <c r="E46" s="43"/>
      <c r="F46" s="44"/>
      <c r="G46" s="45" t="str">
        <f t="shared" si="8"/>
        <v/>
      </c>
      <c r="H46" s="45" t="str">
        <f t="shared" si="9"/>
        <v/>
      </c>
      <c r="I46" s="45" t="str">
        <f t="shared" si="10"/>
        <v/>
      </c>
      <c r="J46" s="40"/>
      <c r="K46" s="49" t="s">
        <v>6</v>
      </c>
      <c r="L46" s="50">
        <f>COUNTIF(G40:G54,2)</f>
        <v>0</v>
      </c>
      <c r="M46" s="50">
        <f>COUNTIF(H40:H54,2)</f>
        <v>0</v>
      </c>
      <c r="N46" s="50">
        <f t="shared" ref="N46" si="11">COUNTIF(I40:I54,2)</f>
        <v>0</v>
      </c>
      <c r="O46" s="40"/>
    </row>
    <row r="47" spans="2:19" ht="15" thickBot="1" x14ac:dyDescent="0.35">
      <c r="B47" s="112"/>
      <c r="C47" s="46" t="s">
        <v>64</v>
      </c>
      <c r="D47" s="42"/>
      <c r="E47" s="43"/>
      <c r="F47" s="44"/>
      <c r="G47" s="45" t="str">
        <f t="shared" si="8"/>
        <v/>
      </c>
      <c r="H47" s="45" t="str">
        <f t="shared" si="9"/>
        <v/>
      </c>
      <c r="I47" s="45" t="str">
        <f t="shared" si="10"/>
        <v/>
      </c>
      <c r="J47" s="40"/>
      <c r="K47" s="51" t="s">
        <v>8</v>
      </c>
      <c r="L47" s="52">
        <f>COUNTIF(G40:G54,1)</f>
        <v>0</v>
      </c>
      <c r="M47" s="52">
        <f t="shared" ref="M47:N47" si="12">COUNTIF(H40:H54,1)</f>
        <v>0</v>
      </c>
      <c r="N47" s="52">
        <f t="shared" si="12"/>
        <v>0</v>
      </c>
      <c r="O47" s="40"/>
    </row>
    <row r="48" spans="2:19" ht="15" thickBot="1" x14ac:dyDescent="0.35">
      <c r="B48" s="112"/>
      <c r="C48" s="46" t="s">
        <v>65</v>
      </c>
      <c r="D48" s="42"/>
      <c r="E48" s="43"/>
      <c r="F48" s="44"/>
      <c r="G48" s="45" t="str">
        <f t="shared" si="8"/>
        <v/>
      </c>
      <c r="H48" s="45" t="str">
        <f t="shared" si="9"/>
        <v/>
      </c>
      <c r="I48" s="45" t="str">
        <f t="shared" si="10"/>
        <v/>
      </c>
      <c r="J48" s="40"/>
      <c r="K48" s="53" t="s">
        <v>7</v>
      </c>
      <c r="L48" s="54">
        <f>COUNTIF(G40:G54,0)</f>
        <v>0</v>
      </c>
      <c r="M48" s="54">
        <f t="shared" ref="M48:N48" si="13">COUNTIF(H40:H54,0)</f>
        <v>0</v>
      </c>
      <c r="N48" s="54">
        <f t="shared" si="13"/>
        <v>0</v>
      </c>
      <c r="O48" s="40"/>
    </row>
    <row r="49" spans="2:19" x14ac:dyDescent="0.3">
      <c r="B49" s="113"/>
      <c r="C49" s="46" t="s">
        <v>66</v>
      </c>
      <c r="D49" s="42"/>
      <c r="E49" s="43"/>
      <c r="F49" s="44"/>
      <c r="G49" s="45" t="str">
        <f t="shared" si="8"/>
        <v/>
      </c>
      <c r="H49" s="45" t="str">
        <f t="shared" si="9"/>
        <v/>
      </c>
      <c r="I49" s="45" t="str">
        <f t="shared" si="10"/>
        <v/>
      </c>
      <c r="J49" s="40"/>
      <c r="K49" s="40"/>
      <c r="L49" s="40"/>
      <c r="M49" s="40"/>
      <c r="N49" s="40"/>
      <c r="O49" s="40"/>
    </row>
    <row r="50" spans="2:19" ht="57.6" x14ac:dyDescent="0.3">
      <c r="B50" s="111" t="s">
        <v>67</v>
      </c>
      <c r="C50" s="46" t="s">
        <v>149</v>
      </c>
      <c r="D50" s="42"/>
      <c r="E50" s="43"/>
      <c r="F50" s="44"/>
      <c r="G50" s="45" t="str">
        <f t="shared" si="8"/>
        <v/>
      </c>
      <c r="H50" s="45" t="str">
        <f t="shared" si="9"/>
        <v/>
      </c>
      <c r="I50" s="45" t="str">
        <f t="shared" si="10"/>
        <v/>
      </c>
      <c r="J50" s="40"/>
      <c r="K50" s="40"/>
      <c r="L50" s="40"/>
      <c r="M50" s="40"/>
      <c r="N50" s="40"/>
      <c r="O50" s="40"/>
    </row>
    <row r="51" spans="2:19" ht="28.8" x14ac:dyDescent="0.3">
      <c r="B51" s="112"/>
      <c r="C51" s="46" t="s">
        <v>68</v>
      </c>
      <c r="D51" s="42"/>
      <c r="E51" s="43"/>
      <c r="F51" s="44"/>
      <c r="G51" s="45" t="str">
        <f t="shared" si="8"/>
        <v/>
      </c>
      <c r="H51" s="45" t="str">
        <f t="shared" si="9"/>
        <v/>
      </c>
      <c r="I51" s="45" t="str">
        <f t="shared" si="10"/>
        <v/>
      </c>
      <c r="J51" s="40"/>
      <c r="K51" s="40"/>
      <c r="L51" s="40"/>
      <c r="M51" s="40"/>
      <c r="N51" s="40"/>
      <c r="O51" s="40"/>
    </row>
    <row r="52" spans="2:19" ht="28.8" x14ac:dyDescent="0.3">
      <c r="B52" s="113"/>
      <c r="C52" s="46" t="s">
        <v>69</v>
      </c>
      <c r="D52" s="42"/>
      <c r="E52" s="43"/>
      <c r="F52" s="44"/>
      <c r="G52" s="45" t="str">
        <f t="shared" si="8"/>
        <v/>
      </c>
      <c r="H52" s="45" t="str">
        <f t="shared" si="9"/>
        <v/>
      </c>
      <c r="I52" s="45" t="str">
        <f t="shared" si="10"/>
        <v/>
      </c>
      <c r="J52" s="40"/>
      <c r="K52" s="40"/>
      <c r="L52" s="40"/>
      <c r="M52" s="40"/>
      <c r="N52" s="40"/>
      <c r="O52" s="40"/>
    </row>
    <row r="53" spans="2:19" ht="57.6" x14ac:dyDescent="0.3">
      <c r="B53" s="83" t="s">
        <v>70</v>
      </c>
      <c r="C53" s="46" t="s">
        <v>71</v>
      </c>
      <c r="D53" s="42"/>
      <c r="E53" s="43"/>
      <c r="F53" s="44"/>
      <c r="G53" s="45" t="str">
        <f t="shared" si="8"/>
        <v/>
      </c>
      <c r="H53" s="45" t="str">
        <f t="shared" si="9"/>
        <v/>
      </c>
      <c r="I53" s="45" t="str">
        <f t="shared" si="10"/>
        <v/>
      </c>
      <c r="J53" s="40"/>
      <c r="K53" s="40"/>
      <c r="L53" s="40"/>
      <c r="M53" s="40"/>
      <c r="N53" s="40"/>
      <c r="O53" s="40"/>
    </row>
    <row r="54" spans="2:19" ht="29.4" thickBot="1" x14ac:dyDescent="0.35">
      <c r="B54" s="82" t="s">
        <v>72</v>
      </c>
      <c r="C54" s="81" t="s">
        <v>73</v>
      </c>
      <c r="D54" s="77"/>
      <c r="E54" s="78"/>
      <c r="F54" s="79"/>
      <c r="G54" s="58" t="str">
        <f t="shared" si="8"/>
        <v/>
      </c>
      <c r="H54" s="58" t="str">
        <f t="shared" si="9"/>
        <v/>
      </c>
      <c r="I54" s="58" t="str">
        <f t="shared" si="10"/>
        <v/>
      </c>
      <c r="J54" s="40"/>
      <c r="K54" s="40"/>
      <c r="L54" s="40"/>
      <c r="M54" s="40"/>
      <c r="N54" s="40"/>
      <c r="O54" s="40"/>
    </row>
    <row r="55" spans="2:19" ht="33" customHeight="1" thickBot="1" x14ac:dyDescent="0.35">
      <c r="B55" s="108" t="s">
        <v>74</v>
      </c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10"/>
    </row>
    <row r="56" spans="2:19" ht="28.8" x14ac:dyDescent="0.3">
      <c r="B56" s="99" t="s">
        <v>75</v>
      </c>
      <c r="C56" s="80" t="s">
        <v>76</v>
      </c>
      <c r="D56" s="73"/>
      <c r="E56" s="73"/>
      <c r="F56" s="75"/>
      <c r="G56" s="39" t="str">
        <f t="shared" ref="G56:G66" si="14">IF(D56="","",IF(D56="Так",2,0))</f>
        <v/>
      </c>
      <c r="H56" s="39" t="str">
        <f t="shared" ref="H56:H66" si="15">IF(E56="","",IF(E56="Так",2,0))</f>
        <v/>
      </c>
      <c r="I56" s="39" t="str">
        <f t="shared" ref="I56:I66" si="16">IF(F56="","",IF(F56="Так",2,0))</f>
        <v/>
      </c>
      <c r="J56" s="40"/>
      <c r="K56" s="40"/>
      <c r="L56" s="40"/>
      <c r="M56" s="40"/>
      <c r="N56" s="40"/>
      <c r="O56" s="40"/>
    </row>
    <row r="57" spans="2:19" ht="29.4" thickBot="1" x14ac:dyDescent="0.35">
      <c r="B57" s="93"/>
      <c r="C57" s="46" t="s">
        <v>77</v>
      </c>
      <c r="D57" s="42"/>
      <c r="E57" s="42"/>
      <c r="F57" s="44"/>
      <c r="G57" s="45" t="str">
        <f t="shared" si="14"/>
        <v/>
      </c>
      <c r="H57" s="45" t="str">
        <f t="shared" si="15"/>
        <v/>
      </c>
      <c r="I57" s="45" t="str">
        <f t="shared" si="16"/>
        <v/>
      </c>
      <c r="J57" s="40"/>
      <c r="K57" s="40"/>
      <c r="L57" s="40"/>
      <c r="M57" s="40"/>
      <c r="N57" s="40"/>
      <c r="O57" s="40"/>
    </row>
    <row r="58" spans="2:19" ht="29.4" thickBot="1" x14ac:dyDescent="0.35">
      <c r="B58" s="98" t="s">
        <v>78</v>
      </c>
      <c r="C58" s="46" t="s">
        <v>79</v>
      </c>
      <c r="D58" s="42"/>
      <c r="E58" s="42"/>
      <c r="F58" s="44"/>
      <c r="G58" s="45" t="str">
        <f t="shared" si="14"/>
        <v/>
      </c>
      <c r="H58" s="45" t="str">
        <f t="shared" si="15"/>
        <v/>
      </c>
      <c r="I58" s="45" t="str">
        <f t="shared" si="16"/>
        <v/>
      </c>
      <c r="J58" s="40"/>
      <c r="K58" s="47" t="s">
        <v>109</v>
      </c>
      <c r="L58" s="48" t="str">
        <f>$D$2</f>
        <v>Оцінювання - ДАТА 1</v>
      </c>
      <c r="M58" s="48" t="str">
        <f>$E$2</f>
        <v>Оцінювання - ДАТА 2</v>
      </c>
      <c r="N58" s="48" t="str">
        <f>$F$2</f>
        <v>Оцінювання - ДАТА 3</v>
      </c>
      <c r="O58" s="40"/>
    </row>
    <row r="59" spans="2:19" ht="15" thickBot="1" x14ac:dyDescent="0.35">
      <c r="B59" s="99"/>
      <c r="C59" s="46" t="s">
        <v>80</v>
      </c>
      <c r="D59" s="42"/>
      <c r="E59" s="42"/>
      <c r="F59" s="44"/>
      <c r="G59" s="45" t="str">
        <f t="shared" si="14"/>
        <v/>
      </c>
      <c r="H59" s="45" t="str">
        <f t="shared" si="15"/>
        <v/>
      </c>
      <c r="I59" s="45" t="str">
        <f t="shared" si="16"/>
        <v/>
      </c>
      <c r="J59" s="40"/>
      <c r="K59" s="49" t="s">
        <v>6</v>
      </c>
      <c r="L59" s="50">
        <f>COUNTIF(G56:G66,2)</f>
        <v>0</v>
      </c>
      <c r="M59" s="50">
        <f t="shared" ref="M59:N59" si="17">COUNTIF(H56:H66,2)</f>
        <v>0</v>
      </c>
      <c r="N59" s="50">
        <f t="shared" si="17"/>
        <v>0</v>
      </c>
      <c r="O59" s="40"/>
    </row>
    <row r="60" spans="2:19" ht="29.4" thickBot="1" x14ac:dyDescent="0.35">
      <c r="B60" s="93"/>
      <c r="C60" s="46" t="s">
        <v>81</v>
      </c>
      <c r="D60" s="42"/>
      <c r="E60" s="42"/>
      <c r="F60" s="44"/>
      <c r="G60" s="45" t="str">
        <f t="shared" si="14"/>
        <v/>
      </c>
      <c r="H60" s="45" t="str">
        <f t="shared" si="15"/>
        <v/>
      </c>
      <c r="I60" s="45" t="str">
        <f t="shared" si="16"/>
        <v/>
      </c>
      <c r="J60" s="40"/>
      <c r="K60" s="51" t="s">
        <v>8</v>
      </c>
      <c r="L60" s="52">
        <f>COUNTIF(G56:G66,1)</f>
        <v>0</v>
      </c>
      <c r="M60" s="52">
        <f t="shared" ref="M60:N60" si="18">COUNTIF(H56:H66,1)</f>
        <v>0</v>
      </c>
      <c r="N60" s="52">
        <f t="shared" si="18"/>
        <v>0</v>
      </c>
      <c r="O60" s="40"/>
    </row>
    <row r="61" spans="2:19" ht="29.4" thickBot="1" x14ac:dyDescent="0.35">
      <c r="B61" s="98" t="s">
        <v>82</v>
      </c>
      <c r="C61" s="46" t="s">
        <v>83</v>
      </c>
      <c r="D61" s="42"/>
      <c r="E61" s="42"/>
      <c r="F61" s="44"/>
      <c r="G61" s="45" t="str">
        <f t="shared" si="14"/>
        <v/>
      </c>
      <c r="H61" s="45" t="str">
        <f t="shared" si="15"/>
        <v/>
      </c>
      <c r="I61" s="45" t="str">
        <f t="shared" si="16"/>
        <v/>
      </c>
      <c r="J61" s="40"/>
      <c r="K61" s="53" t="s">
        <v>7</v>
      </c>
      <c r="L61" s="54">
        <f>COUNTIF(G56:G66,0)</f>
        <v>0</v>
      </c>
      <c r="M61" s="54">
        <f>COUNTIF(H56:H66,0)</f>
        <v>0</v>
      </c>
      <c r="N61" s="54">
        <f>COUNTIF(I56:I66,0)</f>
        <v>0</v>
      </c>
      <c r="O61" s="40"/>
    </row>
    <row r="62" spans="2:19" x14ac:dyDescent="0.3">
      <c r="B62" s="93"/>
      <c r="C62" s="46" t="s">
        <v>84</v>
      </c>
      <c r="D62" s="42"/>
      <c r="E62" s="42"/>
      <c r="F62" s="44"/>
      <c r="G62" s="45" t="str">
        <f t="shared" si="14"/>
        <v/>
      </c>
      <c r="H62" s="45" t="str">
        <f t="shared" si="15"/>
        <v/>
      </c>
      <c r="I62" s="45" t="str">
        <f t="shared" si="16"/>
        <v/>
      </c>
      <c r="J62" s="40"/>
      <c r="K62" s="40"/>
      <c r="L62" s="40"/>
      <c r="M62" s="40"/>
      <c r="N62" s="40"/>
      <c r="O62" s="40"/>
    </row>
    <row r="63" spans="2:19" ht="28.8" x14ac:dyDescent="0.3">
      <c r="B63" s="60" t="s">
        <v>85</v>
      </c>
      <c r="C63" s="46" t="s">
        <v>86</v>
      </c>
      <c r="D63" s="42"/>
      <c r="E63" s="42"/>
      <c r="F63" s="44"/>
      <c r="G63" s="45" t="str">
        <f t="shared" si="14"/>
        <v/>
      </c>
      <c r="H63" s="45" t="str">
        <f t="shared" si="15"/>
        <v/>
      </c>
      <c r="I63" s="45" t="str">
        <f t="shared" si="16"/>
        <v/>
      </c>
      <c r="J63" s="40"/>
      <c r="K63" s="40"/>
      <c r="L63" s="40"/>
      <c r="M63" s="40"/>
      <c r="N63" s="40"/>
      <c r="O63" s="40"/>
    </row>
    <row r="64" spans="2:19" ht="28.8" x14ac:dyDescent="0.3">
      <c r="B64" s="60" t="s">
        <v>87</v>
      </c>
      <c r="C64" s="46" t="s">
        <v>88</v>
      </c>
      <c r="D64" s="42"/>
      <c r="E64" s="42"/>
      <c r="F64" s="44"/>
      <c r="G64" s="45" t="str">
        <f t="shared" si="14"/>
        <v/>
      </c>
      <c r="H64" s="45" t="str">
        <f t="shared" si="15"/>
        <v/>
      </c>
      <c r="I64" s="45" t="str">
        <f t="shared" si="16"/>
        <v/>
      </c>
      <c r="J64" s="40"/>
      <c r="K64" s="40"/>
      <c r="L64" s="40"/>
      <c r="M64" s="40"/>
      <c r="N64" s="40"/>
      <c r="O64" s="40"/>
    </row>
    <row r="65" spans="2:19" ht="43.2" x14ac:dyDescent="0.3">
      <c r="B65" s="98" t="s">
        <v>89</v>
      </c>
      <c r="C65" s="46" t="s">
        <v>90</v>
      </c>
      <c r="D65" s="42"/>
      <c r="E65" s="42"/>
      <c r="F65" s="44"/>
      <c r="G65" s="45" t="str">
        <f t="shared" si="14"/>
        <v/>
      </c>
      <c r="H65" s="45" t="str">
        <f t="shared" si="15"/>
        <v/>
      </c>
      <c r="I65" s="45" t="str">
        <f t="shared" si="16"/>
        <v/>
      </c>
      <c r="J65" s="40"/>
      <c r="K65" s="40"/>
      <c r="L65" s="40"/>
      <c r="M65" s="40"/>
      <c r="N65" s="40"/>
      <c r="O65" s="40"/>
    </row>
    <row r="66" spans="2:19" ht="29.4" thickBot="1" x14ac:dyDescent="0.35">
      <c r="B66" s="99"/>
      <c r="C66" s="76" t="s">
        <v>91</v>
      </c>
      <c r="D66" s="77"/>
      <c r="E66" s="77"/>
      <c r="F66" s="79"/>
      <c r="G66" s="58" t="str">
        <f t="shared" si="14"/>
        <v/>
      </c>
      <c r="H66" s="58" t="str">
        <f t="shared" si="15"/>
        <v/>
      </c>
      <c r="I66" s="58" t="str">
        <f t="shared" si="16"/>
        <v/>
      </c>
      <c r="J66" s="40"/>
      <c r="K66" s="40"/>
      <c r="L66" s="40"/>
      <c r="M66" s="40"/>
      <c r="N66" s="40"/>
      <c r="O66" s="40"/>
    </row>
    <row r="67" spans="2:19" ht="33.6" customHeight="1" thickBot="1" x14ac:dyDescent="0.35">
      <c r="B67" s="108" t="s">
        <v>92</v>
      </c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10"/>
    </row>
    <row r="68" spans="2:19" x14ac:dyDescent="0.3">
      <c r="B68" s="99" t="s">
        <v>93</v>
      </c>
      <c r="C68" s="80" t="s">
        <v>94</v>
      </c>
      <c r="D68" s="73"/>
      <c r="E68" s="73"/>
      <c r="F68" s="75"/>
      <c r="G68" s="39" t="str">
        <f t="shared" ref="G68:G74" si="19">IF(D68="","",IF(D68="Так",2,0))</f>
        <v/>
      </c>
      <c r="H68" s="39" t="str">
        <f t="shared" ref="H68:H74" si="20">IF(E68="","",IF(E68="Так",2,0))</f>
        <v/>
      </c>
      <c r="I68" s="39" t="str">
        <f t="shared" ref="I68:I74" si="21">IF(F68="","",IF(F68="Так",2,0))</f>
        <v/>
      </c>
      <c r="J68" s="40"/>
      <c r="K68" s="40"/>
      <c r="L68" s="40"/>
      <c r="M68" s="40"/>
      <c r="N68" s="40"/>
      <c r="O68" s="40"/>
    </row>
    <row r="69" spans="2:19" ht="15" thickBot="1" x14ac:dyDescent="0.35">
      <c r="B69" s="99"/>
      <c r="C69" s="46" t="s">
        <v>95</v>
      </c>
      <c r="D69" s="42"/>
      <c r="E69" s="42"/>
      <c r="F69" s="44"/>
      <c r="G69" s="45" t="str">
        <f t="shared" si="19"/>
        <v/>
      </c>
      <c r="H69" s="45" t="str">
        <f t="shared" si="20"/>
        <v/>
      </c>
      <c r="I69" s="45" t="str">
        <f t="shared" si="21"/>
        <v/>
      </c>
      <c r="J69" s="40"/>
      <c r="K69" s="40"/>
      <c r="L69" s="40"/>
      <c r="M69" s="40"/>
      <c r="N69" s="40"/>
      <c r="O69" s="40"/>
    </row>
    <row r="70" spans="2:19" ht="29.4" thickBot="1" x14ac:dyDescent="0.35">
      <c r="B70" s="99"/>
      <c r="C70" s="46" t="s">
        <v>96</v>
      </c>
      <c r="D70" s="42"/>
      <c r="E70" s="42"/>
      <c r="F70" s="44"/>
      <c r="G70" s="45" t="str">
        <f t="shared" si="19"/>
        <v/>
      </c>
      <c r="H70" s="45" t="str">
        <f t="shared" si="20"/>
        <v/>
      </c>
      <c r="I70" s="45" t="str">
        <f t="shared" si="21"/>
        <v/>
      </c>
      <c r="J70" s="40"/>
      <c r="K70" s="47" t="s">
        <v>109</v>
      </c>
      <c r="L70" s="48" t="str">
        <f>$D$2</f>
        <v>Оцінювання - ДАТА 1</v>
      </c>
      <c r="M70" s="48" t="str">
        <f>$E$2</f>
        <v>Оцінювання - ДАТА 2</v>
      </c>
      <c r="N70" s="48" t="str">
        <f>$F$2</f>
        <v>Оцінювання - ДАТА 3</v>
      </c>
      <c r="O70" s="40"/>
    </row>
    <row r="71" spans="2:19" ht="15" thickBot="1" x14ac:dyDescent="0.35">
      <c r="B71" s="99"/>
      <c r="C71" s="46" t="s">
        <v>150</v>
      </c>
      <c r="D71" s="42"/>
      <c r="E71" s="42"/>
      <c r="F71" s="44"/>
      <c r="G71" s="45" t="str">
        <f t="shared" si="19"/>
        <v/>
      </c>
      <c r="H71" s="45" t="str">
        <f t="shared" si="20"/>
        <v/>
      </c>
      <c r="I71" s="45" t="str">
        <f t="shared" si="21"/>
        <v/>
      </c>
      <c r="J71" s="40"/>
      <c r="K71" s="49" t="s">
        <v>6</v>
      </c>
      <c r="L71" s="50">
        <f>COUNTIF(G68:G74,2)</f>
        <v>0</v>
      </c>
      <c r="M71" s="50">
        <f>COUNTIF(H68:H74,2)</f>
        <v>0</v>
      </c>
      <c r="N71" s="50">
        <f>COUNTIF(I68:I74,2)</f>
        <v>0</v>
      </c>
      <c r="O71" s="40"/>
    </row>
    <row r="72" spans="2:19" ht="15" thickBot="1" x14ac:dyDescent="0.35">
      <c r="B72" s="99"/>
      <c r="C72" s="46" t="s">
        <v>97</v>
      </c>
      <c r="D72" s="42"/>
      <c r="E72" s="42"/>
      <c r="F72" s="44"/>
      <c r="G72" s="45" t="str">
        <f t="shared" si="19"/>
        <v/>
      </c>
      <c r="H72" s="45" t="str">
        <f t="shared" si="20"/>
        <v/>
      </c>
      <c r="I72" s="45" t="str">
        <f t="shared" si="21"/>
        <v/>
      </c>
      <c r="J72" s="40"/>
      <c r="K72" s="51" t="s">
        <v>8</v>
      </c>
      <c r="L72" s="52">
        <f>COUNTIF(G68:G74,1)</f>
        <v>0</v>
      </c>
      <c r="M72" s="52">
        <f t="shared" ref="M72:N72" si="22">COUNTIF(H68:H74,1)</f>
        <v>0</v>
      </c>
      <c r="N72" s="52">
        <f t="shared" si="22"/>
        <v>0</v>
      </c>
      <c r="O72" s="40"/>
    </row>
    <row r="73" spans="2:19" ht="15" thickBot="1" x14ac:dyDescent="0.35">
      <c r="B73" s="99"/>
      <c r="C73" s="46" t="s">
        <v>151</v>
      </c>
      <c r="D73" s="42"/>
      <c r="E73" s="42"/>
      <c r="F73" s="44"/>
      <c r="G73" s="45" t="str">
        <f t="shared" si="19"/>
        <v/>
      </c>
      <c r="H73" s="45" t="str">
        <f t="shared" si="20"/>
        <v/>
      </c>
      <c r="I73" s="45" t="str">
        <f t="shared" si="21"/>
        <v/>
      </c>
      <c r="J73" s="40"/>
      <c r="K73" s="53" t="s">
        <v>7</v>
      </c>
      <c r="L73" s="54">
        <f>COUNTIF(G68:G74,0)</f>
        <v>0</v>
      </c>
      <c r="M73" s="54">
        <f t="shared" ref="M73:N73" si="23">COUNTIF(H68:H74,0)</f>
        <v>0</v>
      </c>
      <c r="N73" s="54">
        <f t="shared" si="23"/>
        <v>0</v>
      </c>
      <c r="O73" s="40"/>
    </row>
    <row r="74" spans="2:19" ht="15" thickBot="1" x14ac:dyDescent="0.35">
      <c r="B74" s="99"/>
      <c r="C74" s="76" t="s">
        <v>152</v>
      </c>
      <c r="D74" s="77"/>
      <c r="E74" s="77"/>
      <c r="F74" s="79"/>
      <c r="G74" s="58" t="str">
        <f t="shared" si="19"/>
        <v/>
      </c>
      <c r="H74" s="58" t="str">
        <f t="shared" si="20"/>
        <v/>
      </c>
      <c r="I74" s="58" t="str">
        <f t="shared" si="21"/>
        <v/>
      </c>
      <c r="J74" s="40"/>
      <c r="K74" s="40"/>
      <c r="L74" s="40"/>
      <c r="M74" s="40"/>
      <c r="N74" s="40"/>
      <c r="O74" s="40"/>
    </row>
    <row r="75" spans="2:19" ht="32.25" customHeight="1" thickBot="1" x14ac:dyDescent="0.35">
      <c r="B75" s="108" t="s">
        <v>154</v>
      </c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10"/>
    </row>
    <row r="76" spans="2:19" ht="28.8" x14ac:dyDescent="0.3">
      <c r="B76" s="99" t="s">
        <v>98</v>
      </c>
      <c r="C76" s="80" t="s">
        <v>31</v>
      </c>
      <c r="D76" s="73"/>
      <c r="E76" s="74"/>
      <c r="F76" s="75"/>
      <c r="G76" s="39" t="str">
        <f t="shared" ref="G76:G85" si="24">IF(D76="","",IF(D76="Так",2,0))</f>
        <v/>
      </c>
      <c r="H76" s="39" t="str">
        <f t="shared" ref="H76:H85" si="25">IF(E76="","",IF(E76="Так",2,0))</f>
        <v/>
      </c>
      <c r="I76" s="39" t="str">
        <f t="shared" ref="I76:I85" si="26">IF(F76="","",IF(F76="Так",2,0))</f>
        <v/>
      </c>
      <c r="J76" s="40"/>
      <c r="K76" s="40"/>
      <c r="L76" s="40"/>
      <c r="M76" s="40"/>
      <c r="N76" s="40"/>
      <c r="O76" s="40"/>
    </row>
    <row r="77" spans="2:19" ht="43.2" x14ac:dyDescent="0.3">
      <c r="B77" s="93"/>
      <c r="C77" s="46" t="s">
        <v>99</v>
      </c>
      <c r="D77" s="42"/>
      <c r="E77" s="43"/>
      <c r="F77" s="44"/>
      <c r="G77" s="45" t="str">
        <f t="shared" si="24"/>
        <v/>
      </c>
      <c r="H77" s="45" t="str">
        <f t="shared" si="25"/>
        <v/>
      </c>
      <c r="I77" s="45" t="str">
        <f t="shared" si="26"/>
        <v/>
      </c>
      <c r="J77" s="40"/>
      <c r="K77" s="40"/>
      <c r="L77" s="40"/>
      <c r="M77" s="40"/>
      <c r="N77" s="40"/>
      <c r="O77" s="40"/>
    </row>
    <row r="78" spans="2:19" ht="15" thickBot="1" x14ac:dyDescent="0.35">
      <c r="B78" s="60" t="s">
        <v>100</v>
      </c>
      <c r="C78" s="46" t="s">
        <v>101</v>
      </c>
      <c r="D78" s="42"/>
      <c r="E78" s="43"/>
      <c r="F78" s="44"/>
      <c r="G78" s="45" t="str">
        <f t="shared" si="24"/>
        <v/>
      </c>
      <c r="H78" s="45" t="str">
        <f t="shared" si="25"/>
        <v/>
      </c>
      <c r="I78" s="45" t="str">
        <f t="shared" si="26"/>
        <v/>
      </c>
      <c r="J78" s="40"/>
      <c r="K78" s="40"/>
      <c r="L78" s="40"/>
      <c r="M78" s="40"/>
      <c r="N78" s="40"/>
      <c r="O78" s="40"/>
    </row>
    <row r="79" spans="2:19" ht="30" customHeight="1" thickBot="1" x14ac:dyDescent="0.35">
      <c r="B79" s="111" t="s">
        <v>111</v>
      </c>
      <c r="C79" s="46" t="s">
        <v>107</v>
      </c>
      <c r="D79" s="42"/>
      <c r="E79" s="43"/>
      <c r="F79" s="44"/>
      <c r="G79" s="45" t="str">
        <f t="shared" si="24"/>
        <v/>
      </c>
      <c r="H79" s="45" t="str">
        <f t="shared" si="25"/>
        <v/>
      </c>
      <c r="I79" s="45" t="str">
        <f t="shared" si="26"/>
        <v/>
      </c>
      <c r="J79" s="40"/>
      <c r="K79" s="47" t="s">
        <v>109</v>
      </c>
      <c r="L79" s="48" t="str">
        <f>$D$2</f>
        <v>Оцінювання - ДАТА 1</v>
      </c>
      <c r="M79" s="48" t="str">
        <f>$E$2</f>
        <v>Оцінювання - ДАТА 2</v>
      </c>
      <c r="N79" s="48" t="str">
        <f>$F$2</f>
        <v>Оцінювання - ДАТА 3</v>
      </c>
      <c r="O79" s="40"/>
    </row>
    <row r="80" spans="2:19" ht="29.4" thickBot="1" x14ac:dyDescent="0.35">
      <c r="B80" s="112"/>
      <c r="C80" s="46" t="s">
        <v>102</v>
      </c>
      <c r="D80" s="42"/>
      <c r="E80" s="43"/>
      <c r="F80" s="44"/>
      <c r="G80" s="45" t="str">
        <f t="shared" si="24"/>
        <v/>
      </c>
      <c r="H80" s="45" t="str">
        <f t="shared" si="25"/>
        <v/>
      </c>
      <c r="I80" s="45" t="str">
        <f t="shared" si="26"/>
        <v/>
      </c>
      <c r="J80" s="40"/>
      <c r="K80" s="49" t="s">
        <v>6</v>
      </c>
      <c r="L80" s="50">
        <f>COUNTIF(G76:G85,2)</f>
        <v>0</v>
      </c>
      <c r="M80" s="50">
        <f t="shared" ref="M80:N80" si="27">COUNTIF(H76:H85,2)</f>
        <v>0</v>
      </c>
      <c r="N80" s="50">
        <f t="shared" si="27"/>
        <v>0</v>
      </c>
      <c r="O80" s="40"/>
    </row>
    <row r="81" spans="2:15" ht="29.4" thickBot="1" x14ac:dyDescent="0.35">
      <c r="B81" s="112"/>
      <c r="C81" s="46" t="s">
        <v>103</v>
      </c>
      <c r="D81" s="42"/>
      <c r="E81" s="43"/>
      <c r="F81" s="44"/>
      <c r="G81" s="45" t="str">
        <f t="shared" si="24"/>
        <v/>
      </c>
      <c r="H81" s="45" t="str">
        <f t="shared" si="25"/>
        <v/>
      </c>
      <c r="I81" s="45" t="str">
        <f t="shared" si="26"/>
        <v/>
      </c>
      <c r="J81" s="40"/>
      <c r="K81" s="51" t="s">
        <v>8</v>
      </c>
      <c r="L81" s="52">
        <f>COUNTIF(G76:G85,1)</f>
        <v>0</v>
      </c>
      <c r="M81" s="52">
        <f t="shared" ref="M81:N81" si="28">COUNTIF(H76:H85,1)</f>
        <v>0</v>
      </c>
      <c r="N81" s="52">
        <f t="shared" si="28"/>
        <v>0</v>
      </c>
      <c r="O81" s="40"/>
    </row>
    <row r="82" spans="2:15" ht="29.4" thickBot="1" x14ac:dyDescent="0.35">
      <c r="B82" s="112"/>
      <c r="C82" s="46" t="s">
        <v>104</v>
      </c>
      <c r="D82" s="42"/>
      <c r="E82" s="43"/>
      <c r="F82" s="44"/>
      <c r="G82" s="45" t="str">
        <f t="shared" si="24"/>
        <v/>
      </c>
      <c r="H82" s="45" t="str">
        <f t="shared" si="25"/>
        <v/>
      </c>
      <c r="I82" s="45" t="str">
        <f t="shared" si="26"/>
        <v/>
      </c>
      <c r="J82" s="40"/>
      <c r="K82" s="53" t="s">
        <v>7</v>
      </c>
      <c r="L82" s="54">
        <f>COUNTIF(G76:G85,0)</f>
        <v>0</v>
      </c>
      <c r="M82" s="54">
        <f t="shared" ref="M82:N82" si="29">COUNTIF(H76:H85,0)</f>
        <v>0</v>
      </c>
      <c r="N82" s="54">
        <f t="shared" si="29"/>
        <v>0</v>
      </c>
      <c r="O82" s="40"/>
    </row>
    <row r="83" spans="2:15" ht="28.8" x14ac:dyDescent="0.3">
      <c r="B83" s="112"/>
      <c r="C83" s="46" t="s">
        <v>105</v>
      </c>
      <c r="D83" s="42"/>
      <c r="E83" s="43"/>
      <c r="F83" s="44"/>
      <c r="G83" s="45" t="str">
        <f t="shared" si="24"/>
        <v/>
      </c>
      <c r="H83" s="45" t="str">
        <f t="shared" si="25"/>
        <v/>
      </c>
      <c r="I83" s="45" t="str">
        <f t="shared" si="26"/>
        <v/>
      </c>
      <c r="J83" s="40"/>
      <c r="K83" s="40"/>
      <c r="L83" s="40"/>
      <c r="M83" s="40"/>
      <c r="N83" s="40"/>
      <c r="O83" s="40"/>
    </row>
    <row r="84" spans="2:15" ht="28.8" x14ac:dyDescent="0.3">
      <c r="B84" s="113"/>
      <c r="C84" s="46" t="s">
        <v>106</v>
      </c>
      <c r="D84" s="42"/>
      <c r="E84" s="43"/>
      <c r="F84" s="44"/>
      <c r="G84" s="45" t="str">
        <f t="shared" si="24"/>
        <v/>
      </c>
      <c r="H84" s="45" t="str">
        <f t="shared" si="25"/>
        <v/>
      </c>
      <c r="I84" s="45" t="str">
        <f t="shared" si="26"/>
        <v/>
      </c>
      <c r="J84" s="40"/>
      <c r="K84" s="40"/>
      <c r="L84" s="40"/>
      <c r="M84" s="40"/>
      <c r="N84" s="40"/>
      <c r="O84" s="40"/>
    </row>
    <row r="85" spans="2:15" ht="45" customHeight="1" thickBot="1" x14ac:dyDescent="0.35">
      <c r="B85" s="84" t="s">
        <v>110</v>
      </c>
      <c r="C85" s="61" t="s">
        <v>108</v>
      </c>
      <c r="D85" s="55"/>
      <c r="E85" s="56"/>
      <c r="F85" s="57"/>
      <c r="G85" s="45" t="str">
        <f t="shared" si="24"/>
        <v/>
      </c>
      <c r="H85" s="45" t="str">
        <f t="shared" si="25"/>
        <v/>
      </c>
      <c r="I85" s="45" t="str">
        <f t="shared" si="26"/>
        <v/>
      </c>
      <c r="J85" s="40"/>
      <c r="K85" s="40"/>
      <c r="L85" s="40"/>
      <c r="M85" s="40"/>
      <c r="N85" s="40"/>
      <c r="O85" s="40"/>
    </row>
    <row r="89" spans="2:15" ht="15" thickBot="1" x14ac:dyDescent="0.35"/>
    <row r="90" spans="2:15" ht="15" thickBot="1" x14ac:dyDescent="0.35">
      <c r="C90" s="26" t="s">
        <v>109</v>
      </c>
      <c r="D90" s="27" t="str">
        <f>D2</f>
        <v>Оцінювання - ДАТА 1</v>
      </c>
      <c r="E90" s="27" t="str">
        <f t="shared" ref="E90:F90" si="30">E2</f>
        <v>Оцінювання - ДАТА 2</v>
      </c>
      <c r="F90" s="27" t="str">
        <f t="shared" si="30"/>
        <v>Оцінювання - ДАТА 3</v>
      </c>
    </row>
    <row r="91" spans="2:15" ht="15" thickBot="1" x14ac:dyDescent="0.35">
      <c r="C91" s="28" t="s">
        <v>6</v>
      </c>
      <c r="D91" s="29">
        <f>COUNTIF(G4:G85,2)</f>
        <v>0</v>
      </c>
      <c r="E91" s="29">
        <f t="shared" ref="E91:F91" si="31">COUNTIF(H4:H85,2)</f>
        <v>0</v>
      </c>
      <c r="F91" s="29">
        <f t="shared" si="31"/>
        <v>0</v>
      </c>
    </row>
    <row r="92" spans="2:15" ht="15" thickBot="1" x14ac:dyDescent="0.35">
      <c r="C92" s="30" t="s">
        <v>8</v>
      </c>
      <c r="D92" s="31">
        <f>COUNTIF(G4:G85,1)</f>
        <v>0</v>
      </c>
      <c r="E92" s="31">
        <f t="shared" ref="E92:F92" si="32">COUNTIF(H4:H85,1)</f>
        <v>0</v>
      </c>
      <c r="F92" s="31">
        <f t="shared" si="32"/>
        <v>0</v>
      </c>
    </row>
    <row r="93" spans="2:15" ht="15" thickBot="1" x14ac:dyDescent="0.35">
      <c r="C93" s="32" t="s">
        <v>7</v>
      </c>
      <c r="D93" s="33">
        <f>COUNTIF(G4:G85,0)</f>
        <v>0</v>
      </c>
      <c r="E93" s="33">
        <f t="shared" ref="E93:F93" si="33">COUNTIF(H4:H85,0)</f>
        <v>0</v>
      </c>
      <c r="F93" s="33">
        <f t="shared" si="33"/>
        <v>0</v>
      </c>
    </row>
  </sheetData>
  <mergeCells count="25">
    <mergeCell ref="B79:B84"/>
    <mergeCell ref="B61:B62"/>
    <mergeCell ref="B65:B66"/>
    <mergeCell ref="B68:B74"/>
    <mergeCell ref="B39:S39"/>
    <mergeCell ref="B55:S55"/>
    <mergeCell ref="B67:S67"/>
    <mergeCell ref="B75:S75"/>
    <mergeCell ref="B46:B49"/>
    <mergeCell ref="B50:B52"/>
    <mergeCell ref="B56:B57"/>
    <mergeCell ref="B58:B60"/>
    <mergeCell ref="B76:B77"/>
    <mergeCell ref="D1:O1"/>
    <mergeCell ref="B4:B7"/>
    <mergeCell ref="B41:B44"/>
    <mergeCell ref="B31:B34"/>
    <mergeCell ref="B35:B36"/>
    <mergeCell ref="B8:B15"/>
    <mergeCell ref="B17:B19"/>
    <mergeCell ref="B21:B26"/>
    <mergeCell ref="B28:B30"/>
    <mergeCell ref="G2:S2"/>
    <mergeCell ref="B3:S3"/>
    <mergeCell ref="B16:S16"/>
  </mergeCells>
  <conditionalFormatting sqref="D4:F15">
    <cfRule type="containsText" dxfId="50" priority="53" operator="containsText" text="Так">
      <formula>NOT(ISERROR(SEARCH("Так",D4)))</formula>
    </cfRule>
    <cfRule type="containsText" dxfId="49" priority="54" operator="containsText" text="нІ">
      <formula>NOT(ISERROR(SEARCH("нІ",D4)))</formula>
    </cfRule>
  </conditionalFormatting>
  <conditionalFormatting sqref="D17:F38">
    <cfRule type="containsText" dxfId="48" priority="33" operator="containsText" text="Так">
      <formula>NOT(ISERROR(SEARCH("Так",D17)))</formula>
    </cfRule>
    <cfRule type="containsText" dxfId="47" priority="34" operator="containsText" text="нІ">
      <formula>NOT(ISERROR(SEARCH("нІ",D17)))</formula>
    </cfRule>
  </conditionalFormatting>
  <conditionalFormatting sqref="D40:F54">
    <cfRule type="containsText" dxfId="46" priority="23" operator="containsText" text="Так">
      <formula>NOT(ISERROR(SEARCH("Так",D40)))</formula>
    </cfRule>
    <cfRule type="containsText" dxfId="45" priority="24" operator="containsText" text="нІ">
      <formula>NOT(ISERROR(SEARCH("нІ",D40)))</formula>
    </cfRule>
  </conditionalFormatting>
  <conditionalFormatting sqref="D56:F66">
    <cfRule type="containsText" dxfId="44" priority="9" operator="containsText" text="Так">
      <formula>NOT(ISERROR(SEARCH("Так",D56)))</formula>
    </cfRule>
    <cfRule type="containsText" dxfId="43" priority="10" operator="containsText" text="нІ">
      <formula>NOT(ISERROR(SEARCH("нІ",D56)))</formula>
    </cfRule>
  </conditionalFormatting>
  <conditionalFormatting sqref="D68:F74">
    <cfRule type="containsText" dxfId="42" priority="7" operator="containsText" text="Так">
      <formula>NOT(ISERROR(SEARCH("Так",D68)))</formula>
    </cfRule>
    <cfRule type="containsText" dxfId="41" priority="8" operator="containsText" text="нІ">
      <formula>NOT(ISERROR(SEARCH("нІ",D68)))</formula>
    </cfRule>
  </conditionalFormatting>
  <conditionalFormatting sqref="D76:F85">
    <cfRule type="containsText" dxfId="40" priority="1" operator="containsText" text="Так">
      <formula>NOT(ISERROR(SEARCH("Так",D76)))</formula>
    </cfRule>
    <cfRule type="containsText" dxfId="39" priority="2" operator="containsText" text="нІ">
      <formula>NOT(ISERROR(SEARCH("нІ",D76)))</formula>
    </cfRule>
  </conditionalFormatting>
  <dataValidations count="1">
    <dataValidation type="list" allowBlank="1" showInputMessage="1" showErrorMessage="1" sqref="D4:F15 D76:F85 D68:F74 D56:F66 D40:F54 D17:F38" xr:uid="{DD5C2950-499C-46EA-946F-94B3911F9863}">
      <formula1>$K$5:$K$6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59CDB-D387-4E97-9D81-4B13E5754750}">
  <dimension ref="B1:S8"/>
  <sheetViews>
    <sheetView zoomScale="78" zoomScaleNormal="80" workbookViewId="0">
      <selection activeCell="E25" sqref="E25"/>
    </sheetView>
  </sheetViews>
  <sheetFormatPr defaultRowHeight="14.4" x14ac:dyDescent="0.3"/>
  <cols>
    <col min="1" max="1" width="1.88671875" customWidth="1"/>
    <col min="2" max="2" width="64.6640625" customWidth="1"/>
    <col min="3" max="3" width="26.6640625" customWidth="1"/>
    <col min="4" max="4" width="26.88671875" customWidth="1"/>
    <col min="5" max="5" width="23.6640625" customWidth="1"/>
    <col min="6" max="6" width="3.6640625" hidden="1" customWidth="1"/>
    <col min="7" max="7" width="5.33203125" hidden="1" customWidth="1"/>
    <col min="8" max="8" width="4.6640625" hidden="1" customWidth="1"/>
    <col min="9" max="9" width="0.6640625" customWidth="1"/>
    <col min="10" max="10" width="18.5546875" bestFit="1" customWidth="1"/>
    <col min="11" max="11" width="11.33203125" customWidth="1"/>
    <col min="12" max="13" width="8.88671875" customWidth="1"/>
    <col min="14" max="14" width="15.109375" customWidth="1"/>
  </cols>
  <sheetData>
    <row r="1" spans="2:19" ht="15" thickBot="1" x14ac:dyDescent="0.35"/>
    <row r="2" spans="2:19" ht="33" customHeight="1" thickBot="1" x14ac:dyDescent="0.35">
      <c r="B2" s="65" t="s">
        <v>146</v>
      </c>
      <c r="C2" s="67" t="str">
        <f>'1. Фізична доступність'!D2</f>
        <v>Оцінювання - ДАТА 1</v>
      </c>
      <c r="D2" s="67" t="str">
        <f>'1. Фізична доступність'!E2</f>
        <v>Оцінювання - ДАТА 2</v>
      </c>
      <c r="E2" s="67" t="str">
        <f>'1. Фізична доступність'!F2</f>
        <v>Оцінювання - ДАТА 3</v>
      </c>
      <c r="F2" s="114" t="s">
        <v>9</v>
      </c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6"/>
    </row>
    <row r="3" spans="2:19" ht="21" customHeight="1" x14ac:dyDescent="0.3">
      <c r="B3" s="8" t="s">
        <v>112</v>
      </c>
      <c r="C3" s="2"/>
      <c r="D3" s="10"/>
      <c r="E3" s="21"/>
      <c r="F3" s="34" t="str">
        <f>IF(C3="","",IF(C3="Зовсім немає",0,IF(C3="Наявні частково",1,IF(C3="Наявні повною мірою",2,""))))</f>
        <v/>
      </c>
      <c r="G3" s="34" t="str">
        <f t="shared" ref="G3:H5" si="0">IF(D3="","",IF(D3="Зовсім немає",0,IF(D3="Наявні частково",1,IF(D3="Наявні повною мірою",2,""))))</f>
        <v/>
      </c>
      <c r="H3" s="34" t="str">
        <f t="shared" si="0"/>
        <v/>
      </c>
      <c r="K3" s="24" t="s">
        <v>109</v>
      </c>
      <c r="L3" s="24" t="str">
        <f>C2</f>
        <v>Оцінювання - ДАТА 1</v>
      </c>
      <c r="M3" s="24" t="str">
        <f>D2</f>
        <v>Оцінювання - ДАТА 2</v>
      </c>
      <c r="N3" s="24" t="str">
        <f>E2</f>
        <v>Оцінювання - ДАТА 3</v>
      </c>
    </row>
    <row r="4" spans="2:19" ht="20.399999999999999" customHeight="1" x14ac:dyDescent="0.3">
      <c r="B4" s="7" t="s">
        <v>113</v>
      </c>
      <c r="C4" s="3"/>
      <c r="D4" s="11"/>
      <c r="E4" s="22"/>
      <c r="F4" s="1" t="str">
        <f t="shared" ref="F4:F5" si="1">IF(C4="","",IF(C4="Зовсім немає",0,IF(C4="Наявні частково",1,IF(C4="Наявні повною мірою",2,""))))</f>
        <v/>
      </c>
      <c r="G4" s="1" t="str">
        <f t="shared" si="0"/>
        <v/>
      </c>
      <c r="H4" s="1" t="str">
        <f t="shared" si="0"/>
        <v/>
      </c>
      <c r="I4" t="s">
        <v>4</v>
      </c>
      <c r="J4" s="6" t="s">
        <v>118</v>
      </c>
      <c r="K4" s="35" t="s">
        <v>6</v>
      </c>
      <c r="L4" s="35">
        <f>COUNTIF(F3:F8,2)</f>
        <v>0</v>
      </c>
      <c r="M4" s="35">
        <f t="shared" ref="M4:N4" si="2">COUNTIF(G3:G8,2)</f>
        <v>0</v>
      </c>
      <c r="N4" s="35">
        <f t="shared" si="2"/>
        <v>0</v>
      </c>
    </row>
    <row r="5" spans="2:19" ht="24" customHeight="1" x14ac:dyDescent="0.3">
      <c r="B5" s="7" t="s">
        <v>114</v>
      </c>
      <c r="C5" s="3"/>
      <c r="D5" s="11"/>
      <c r="E5" s="22"/>
      <c r="F5" s="1" t="str">
        <f t="shared" si="1"/>
        <v/>
      </c>
      <c r="G5" s="1" t="str">
        <f t="shared" si="0"/>
        <v/>
      </c>
      <c r="H5" s="1" t="str">
        <f t="shared" si="0"/>
        <v/>
      </c>
      <c r="I5" t="s">
        <v>5</v>
      </c>
      <c r="J5" s="6" t="s">
        <v>119</v>
      </c>
      <c r="K5" s="36" t="s">
        <v>8</v>
      </c>
      <c r="L5" s="36">
        <f>COUNTIF(F3:F8,1)</f>
        <v>0</v>
      </c>
      <c r="M5" s="36">
        <f t="shared" ref="M5:N5" si="3">COUNTIF(G3:G8,1)</f>
        <v>0</v>
      </c>
      <c r="N5" s="36">
        <f t="shared" si="3"/>
        <v>0</v>
      </c>
    </row>
    <row r="6" spans="2:19" ht="20.399999999999999" customHeight="1" x14ac:dyDescent="0.3">
      <c r="B6" s="7" t="s">
        <v>115</v>
      </c>
      <c r="C6" s="3"/>
      <c r="D6" s="11"/>
      <c r="E6" s="22"/>
      <c r="F6" s="1" t="str">
        <f>IF(C6="","",IF(C6="Так",2,0))</f>
        <v/>
      </c>
      <c r="G6" s="1" t="str">
        <f t="shared" ref="G6:H6" si="4">IF(D6="","",IF(D6="Так",2,0))</f>
        <v/>
      </c>
      <c r="H6" s="1" t="str">
        <f t="shared" si="4"/>
        <v/>
      </c>
      <c r="J6" t="s">
        <v>120</v>
      </c>
      <c r="K6" s="35" t="s">
        <v>7</v>
      </c>
      <c r="L6" s="35">
        <f>COUNTIF(F3:F8,0)</f>
        <v>0</v>
      </c>
      <c r="M6" s="35">
        <f t="shared" ref="M6:N6" si="5">COUNTIF(G3:G8,0)</f>
        <v>0</v>
      </c>
      <c r="N6" s="35">
        <f t="shared" si="5"/>
        <v>0</v>
      </c>
    </row>
    <row r="7" spans="2:19" ht="21" customHeight="1" x14ac:dyDescent="0.3">
      <c r="B7" s="37" t="s">
        <v>116</v>
      </c>
      <c r="C7" s="3"/>
      <c r="D7" s="11"/>
      <c r="E7" s="22"/>
      <c r="F7" s="1" t="str">
        <f>IF(C7="","",IF(C7="Зовсім немає",0,IF(C7="Наявні частково",1,IF(C7="Наявні повною мірою",2,""))))</f>
        <v/>
      </c>
      <c r="G7" s="1" t="str">
        <f t="shared" ref="G7:H7" si="6">IF(D7="","",IF(D7="Зовсім немає",0,IF(D7="Наявні частково",1,IF(D7="Наявні повною мірою",2,""))))</f>
        <v/>
      </c>
      <c r="H7" s="1" t="str">
        <f t="shared" si="6"/>
        <v/>
      </c>
    </row>
    <row r="8" spans="2:19" ht="22.2" customHeight="1" thickBot="1" x14ac:dyDescent="0.35">
      <c r="B8" s="38" t="s">
        <v>117</v>
      </c>
      <c r="C8" s="4"/>
      <c r="D8" s="12"/>
      <c r="E8" s="23"/>
      <c r="F8" s="1" t="str">
        <f>IF(C8="","",IF(C8="Так",2,0))</f>
        <v/>
      </c>
      <c r="G8" s="1" t="str">
        <f t="shared" ref="G8:H8" si="7">IF(D8="","",IF(D8="Так",2,0))</f>
        <v/>
      </c>
      <c r="H8" s="1" t="str">
        <f t="shared" si="7"/>
        <v/>
      </c>
    </row>
  </sheetData>
  <mergeCells count="1">
    <mergeCell ref="F2:S2"/>
  </mergeCells>
  <phoneticPr fontId="2" type="noConversion"/>
  <conditionalFormatting sqref="C3:E5">
    <cfRule type="containsText" dxfId="38" priority="6" operator="containsText" text="Наявні частково">
      <formula>NOT(ISERROR(SEARCH("Наявні частково",C3)))</formula>
    </cfRule>
  </conditionalFormatting>
  <conditionalFormatting sqref="C3:E8">
    <cfRule type="containsText" dxfId="37" priority="61" operator="containsText" text="Наявні повною мірою">
      <formula>NOT(ISERROR(SEARCH("Наявні повною мірою",C3)))</formula>
    </cfRule>
    <cfRule type="containsText" dxfId="36" priority="62" operator="containsText" text="Зовсім немає">
      <formula>NOT(ISERROR(SEARCH("Зовсім немає",C3)))</formula>
    </cfRule>
  </conditionalFormatting>
  <conditionalFormatting sqref="C6:E6">
    <cfRule type="containsText" dxfId="35" priority="3" operator="containsText" text="Ні">
      <formula>NOT(ISERROR(SEARCH("Ні",C6)))</formula>
    </cfRule>
    <cfRule type="containsText" dxfId="34" priority="4" operator="containsText" text="Так">
      <formula>NOT(ISERROR(SEARCH("Так",C6)))</formula>
    </cfRule>
  </conditionalFormatting>
  <conditionalFormatting sqref="C7:E7">
    <cfRule type="containsText" dxfId="33" priority="5" operator="containsText" text="Наявні частково">
      <formula>NOT(ISERROR(SEARCH("Наявні частково",C7)))</formula>
    </cfRule>
  </conditionalFormatting>
  <conditionalFormatting sqref="C8:E8">
    <cfRule type="containsText" dxfId="32" priority="1" operator="containsText" text="Ні">
      <formula>NOT(ISERROR(SEARCH("Ні",C8)))</formula>
    </cfRule>
    <cfRule type="containsText" dxfId="31" priority="2" operator="containsText" text="Так">
      <formula>NOT(ISERROR(SEARCH("Так",C8)))</formula>
    </cfRule>
  </conditionalFormatting>
  <dataValidations count="2">
    <dataValidation type="list" allowBlank="1" showInputMessage="1" showErrorMessage="1" sqref="C6:E6 C8:E8" xr:uid="{AF2B52BD-E3BC-4331-8276-CFA3AE5F5BBF}">
      <formula1>$I$4:$I$5</formula1>
    </dataValidation>
    <dataValidation type="list" allowBlank="1" showInputMessage="1" showErrorMessage="1" sqref="C3:E5 C7:E7" xr:uid="{2AE92D32-8982-415D-95EF-E29A99C07C3A}">
      <formula1>$J$4:$J$6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2FA82-2A74-4FB0-A2F1-4A8ECAB1E175}">
  <dimension ref="B1:S6"/>
  <sheetViews>
    <sheetView zoomScale="80" zoomScaleNormal="85" workbookViewId="0">
      <selection activeCell="R23" sqref="R23"/>
    </sheetView>
  </sheetViews>
  <sheetFormatPr defaultRowHeight="14.4" x14ac:dyDescent="0.3"/>
  <cols>
    <col min="1" max="1" width="2.88671875" customWidth="1"/>
    <col min="2" max="2" width="52.33203125" bestFit="1" customWidth="1"/>
    <col min="3" max="3" width="22.88671875" customWidth="1"/>
    <col min="4" max="4" width="23.88671875" customWidth="1"/>
    <col min="5" max="5" width="22.6640625" customWidth="1"/>
    <col min="6" max="6" width="3.6640625" hidden="1" customWidth="1"/>
    <col min="7" max="7" width="2.33203125" hidden="1" customWidth="1"/>
    <col min="8" max="8" width="1.6640625" hidden="1" customWidth="1"/>
    <col min="9" max="9" width="4.5546875" customWidth="1"/>
    <col min="10" max="10" width="18.5546875" bestFit="1" customWidth="1"/>
    <col min="11" max="11" width="11.33203125" customWidth="1"/>
    <col min="14" max="14" width="15.109375" customWidth="1"/>
  </cols>
  <sheetData>
    <row r="1" spans="2:19" ht="15" thickBot="1" x14ac:dyDescent="0.35"/>
    <row r="2" spans="2:19" ht="27" customHeight="1" thickBot="1" x14ac:dyDescent="0.35">
      <c r="B2" s="65" t="s">
        <v>146</v>
      </c>
      <c r="C2" s="66" t="str">
        <f>'1. Фізична доступність'!D2</f>
        <v>Оцінювання - ДАТА 1</v>
      </c>
      <c r="D2" s="66" t="str">
        <f>'1. Фізична доступність'!E2</f>
        <v>Оцінювання - ДАТА 2</v>
      </c>
      <c r="E2" s="66" t="str">
        <f>'1. Фізична доступність'!F2</f>
        <v>Оцінювання - ДАТА 3</v>
      </c>
      <c r="F2" s="114" t="s">
        <v>9</v>
      </c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6"/>
    </row>
    <row r="3" spans="2:19" ht="21.6" customHeight="1" thickBot="1" x14ac:dyDescent="0.35">
      <c r="B3" s="8" t="s">
        <v>121</v>
      </c>
      <c r="C3" s="2"/>
      <c r="D3" s="10"/>
      <c r="E3" s="21"/>
      <c r="F3" s="34" t="str">
        <f>IF(C3="","",IF(C3="Зовсім немає",0,IF(C3="Наявні частково",1,IF(C3="Наявні повною мірою",2,""))))</f>
        <v/>
      </c>
      <c r="G3" s="34" t="str">
        <f t="shared" ref="G3:H4" si="0">IF(D3="","",IF(D3="Зовсім немає",0,IF(D3="Наявні частково",1,IF(D3="Наявні повною мірою",2,""))))</f>
        <v/>
      </c>
      <c r="H3" s="34" t="str">
        <f t="shared" si="0"/>
        <v/>
      </c>
      <c r="K3" s="88" t="s">
        <v>109</v>
      </c>
      <c r="L3" s="89" t="str">
        <f>C2</f>
        <v>Оцінювання - ДАТА 1</v>
      </c>
      <c r="M3" s="89" t="str">
        <f t="shared" ref="M3:N3" si="1">D2</f>
        <v>Оцінювання - ДАТА 2</v>
      </c>
      <c r="N3" s="89" t="str">
        <f t="shared" si="1"/>
        <v>Оцінювання - ДАТА 3</v>
      </c>
    </row>
    <row r="4" spans="2:19" ht="19.95" customHeight="1" thickBot="1" x14ac:dyDescent="0.35">
      <c r="B4" s="7" t="s">
        <v>122</v>
      </c>
      <c r="C4" s="3"/>
      <c r="D4" s="11"/>
      <c r="E4" s="22"/>
      <c r="F4" s="1" t="str">
        <f t="shared" ref="F4" si="2">IF(C4="","",IF(C4="Зовсім немає",0,IF(C4="Наявні частково",1,IF(C4="Наявні повною мірою",2,""))))</f>
        <v/>
      </c>
      <c r="G4" s="1" t="str">
        <f t="shared" si="0"/>
        <v/>
      </c>
      <c r="H4" s="1" t="str">
        <f t="shared" si="0"/>
        <v/>
      </c>
      <c r="I4" t="s">
        <v>4</v>
      </c>
      <c r="J4" s="6" t="s">
        <v>118</v>
      </c>
      <c r="K4" s="15" t="s">
        <v>6</v>
      </c>
      <c r="L4" s="16">
        <f>COUNTIF(F3:F6,2)</f>
        <v>0</v>
      </c>
      <c r="M4" s="16">
        <f t="shared" ref="M4:N4" si="3">COUNTIF(G3:G6,2)</f>
        <v>0</v>
      </c>
      <c r="N4" s="16">
        <f t="shared" si="3"/>
        <v>0</v>
      </c>
    </row>
    <row r="5" spans="2:19" ht="20.399999999999999" customHeight="1" thickBot="1" x14ac:dyDescent="0.35">
      <c r="B5" s="7" t="s">
        <v>123</v>
      </c>
      <c r="C5" s="3"/>
      <c r="D5" s="11"/>
      <c r="E5" s="22"/>
      <c r="F5" s="1" t="str">
        <f>IF(C5="","",IF(C5="Так",2,0))</f>
        <v/>
      </c>
      <c r="G5" s="1" t="str">
        <f t="shared" ref="G5:H6" si="4">IF(D5="","",IF(D5="Так",2,0))</f>
        <v/>
      </c>
      <c r="H5" s="1" t="str">
        <f t="shared" si="4"/>
        <v/>
      </c>
      <c r="I5" t="s">
        <v>5</v>
      </c>
      <c r="J5" s="6" t="s">
        <v>119</v>
      </c>
      <c r="K5" s="17" t="s">
        <v>8</v>
      </c>
      <c r="L5" s="18">
        <f>COUNTIF(F3:F6,1)</f>
        <v>0</v>
      </c>
      <c r="M5" s="18">
        <f t="shared" ref="M5:N5" si="5">COUNTIF(G3:G6,1)</f>
        <v>0</v>
      </c>
      <c r="N5" s="18">
        <f t="shared" si="5"/>
        <v>0</v>
      </c>
    </row>
    <row r="6" spans="2:19" ht="20.399999999999999" customHeight="1" thickBot="1" x14ac:dyDescent="0.35">
      <c r="B6" s="9" t="s">
        <v>124</v>
      </c>
      <c r="C6" s="4"/>
      <c r="D6" s="12"/>
      <c r="E6" s="23"/>
      <c r="F6" s="1" t="str">
        <f>IF(C6="","",IF(C6="Так",2,0))</f>
        <v/>
      </c>
      <c r="G6" s="1" t="str">
        <f t="shared" si="4"/>
        <v/>
      </c>
      <c r="H6" s="1" t="str">
        <f t="shared" si="4"/>
        <v/>
      </c>
      <c r="J6" t="s">
        <v>120</v>
      </c>
      <c r="K6" s="19" t="s">
        <v>7</v>
      </c>
      <c r="L6" s="20">
        <f>COUNTIF(F3:F6,0)</f>
        <v>0</v>
      </c>
      <c r="M6" s="20">
        <f t="shared" ref="M6:N6" si="6">COUNTIF(G3:G6,0)</f>
        <v>0</v>
      </c>
      <c r="N6" s="20">
        <f t="shared" si="6"/>
        <v>0</v>
      </c>
    </row>
  </sheetData>
  <mergeCells count="1">
    <mergeCell ref="F2:S2"/>
  </mergeCells>
  <conditionalFormatting sqref="C3:E5">
    <cfRule type="containsText" dxfId="30" priority="8" operator="containsText" text="Наявні частково">
      <formula>NOT(ISERROR(SEARCH("Наявні частково",C3)))</formula>
    </cfRule>
  </conditionalFormatting>
  <conditionalFormatting sqref="C3:E6">
    <cfRule type="containsText" dxfId="29" priority="11" operator="containsText" text="Наявні повною мірою">
      <formula>NOT(ISERROR(SEARCH("Наявні повною мірою",C3)))</formula>
    </cfRule>
    <cfRule type="containsText" dxfId="28" priority="12" operator="containsText" text="Зовсім немає">
      <formula>NOT(ISERROR(SEARCH("Зовсім немає",C3)))</formula>
    </cfRule>
  </conditionalFormatting>
  <conditionalFormatting sqref="C5:E6">
    <cfRule type="containsText" dxfId="27" priority="1" operator="containsText" text="Ні">
      <formula>NOT(ISERROR(SEARCH("Ні",C5)))</formula>
    </cfRule>
    <cfRule type="containsText" dxfId="26" priority="2" operator="containsText" text="Так">
      <formula>NOT(ISERROR(SEARCH("Так",C5)))</formula>
    </cfRule>
  </conditionalFormatting>
  <dataValidations count="2">
    <dataValidation type="list" allowBlank="1" showInputMessage="1" showErrorMessage="1" sqref="C3:E4" xr:uid="{6476DD54-6AD9-412C-A5E0-B0E0E0AFBF69}">
      <formula1>$J$4:$J$6</formula1>
    </dataValidation>
    <dataValidation type="list" allowBlank="1" showInputMessage="1" showErrorMessage="1" sqref="C5:E6" xr:uid="{D3DABCBE-7756-41D6-9CF9-8966D73BEDE9}">
      <formula1>$I$4:$I$5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10767-582C-4216-9C61-80D6976AB853}">
  <dimension ref="B1:S6"/>
  <sheetViews>
    <sheetView zoomScale="85" zoomScaleNormal="85" workbookViewId="0">
      <selection activeCell="B20" sqref="B20"/>
    </sheetView>
  </sheetViews>
  <sheetFormatPr defaultRowHeight="14.4" x14ac:dyDescent="0.3"/>
  <cols>
    <col min="1" max="1" width="3.6640625" customWidth="1"/>
    <col min="2" max="2" width="87.44140625" customWidth="1"/>
    <col min="3" max="3" width="27.44140625" customWidth="1"/>
    <col min="4" max="4" width="25.5546875" customWidth="1"/>
    <col min="5" max="5" width="25" customWidth="1"/>
    <col min="6" max="8" width="3.6640625" hidden="1" customWidth="1"/>
    <col min="10" max="10" width="18.5546875" bestFit="1" customWidth="1"/>
    <col min="11" max="11" width="11.33203125" customWidth="1"/>
    <col min="14" max="14" width="15.109375" customWidth="1"/>
  </cols>
  <sheetData>
    <row r="1" spans="2:19" ht="15" thickBot="1" x14ac:dyDescent="0.35"/>
    <row r="2" spans="2:19" ht="39.6" customHeight="1" thickBot="1" x14ac:dyDescent="0.35">
      <c r="B2" s="62" t="s">
        <v>146</v>
      </c>
      <c r="C2" s="63" t="str">
        <f>'1. Фізична доступність'!D2</f>
        <v>Оцінювання - ДАТА 1</v>
      </c>
      <c r="D2" s="63" t="str">
        <f>'1. Фізична доступність'!E2</f>
        <v>Оцінювання - ДАТА 2</v>
      </c>
      <c r="E2" s="63" t="str">
        <f>'1. Фізична доступність'!F2</f>
        <v>Оцінювання - ДАТА 3</v>
      </c>
      <c r="F2" s="114" t="s">
        <v>9</v>
      </c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6"/>
    </row>
    <row r="3" spans="2:19" ht="29.4" thickBot="1" x14ac:dyDescent="0.35">
      <c r="B3" s="8" t="s">
        <v>125</v>
      </c>
      <c r="C3" s="2"/>
      <c r="D3" s="10"/>
      <c r="E3" s="21"/>
      <c r="F3" s="34" t="str">
        <f>IF(C3="","",IF(C3="Так, повною мірою",2,IF(C3="Так, частково",1,IF(C3="Ні",0,""))))</f>
        <v/>
      </c>
      <c r="G3" s="34" t="str">
        <f t="shared" ref="G3:H6" si="0">IF(D3="","",IF(D3="Так, повною мірою",2,IF(D3="Так, частково",1,IF(D3="Ні",0,""))))</f>
        <v/>
      </c>
      <c r="H3" s="34" t="str">
        <f t="shared" si="0"/>
        <v/>
      </c>
      <c r="K3" s="88" t="s">
        <v>109</v>
      </c>
      <c r="L3" s="89" t="str">
        <f>C2</f>
        <v>Оцінювання - ДАТА 1</v>
      </c>
      <c r="M3" s="89" t="str">
        <f t="shared" ref="M3:N3" si="1">D2</f>
        <v>Оцінювання - ДАТА 2</v>
      </c>
      <c r="N3" s="89" t="str">
        <f t="shared" si="1"/>
        <v>Оцінювання - ДАТА 3</v>
      </c>
    </row>
    <row r="4" spans="2:19" ht="37.950000000000003" customHeight="1" thickBot="1" x14ac:dyDescent="0.35">
      <c r="B4" s="7" t="s">
        <v>126</v>
      </c>
      <c r="C4" s="3"/>
      <c r="D4" s="11"/>
      <c r="E4" s="22"/>
      <c r="F4" s="1" t="str">
        <f t="shared" ref="F4:F6" si="2">IF(C4="","",IF(C4="Так, повною мірою",2,IF(C4="Так, частково",1,IF(C4="Ні",0,""))))</f>
        <v/>
      </c>
      <c r="G4" s="1" t="str">
        <f t="shared" si="0"/>
        <v/>
      </c>
      <c r="H4" s="1" t="str">
        <f t="shared" si="0"/>
        <v/>
      </c>
      <c r="I4" t="s">
        <v>4</v>
      </c>
      <c r="J4" s="6" t="s">
        <v>129</v>
      </c>
      <c r="K4" s="15" t="s">
        <v>6</v>
      </c>
      <c r="L4" s="16">
        <f>COUNTIF(F3:F6,2)</f>
        <v>0</v>
      </c>
      <c r="M4" s="16">
        <f>COUNTIF(G3:G6,2)</f>
        <v>0</v>
      </c>
      <c r="N4" s="16">
        <f>COUNTIF(H3:H6,2)</f>
        <v>0</v>
      </c>
    </row>
    <row r="5" spans="2:19" ht="36" customHeight="1" thickBot="1" x14ac:dyDescent="0.35">
      <c r="B5" s="7" t="s">
        <v>127</v>
      </c>
      <c r="C5" s="3"/>
      <c r="D5" s="11"/>
      <c r="E5" s="22"/>
      <c r="F5" s="1" t="str">
        <f>IF(C5="","",IF(C5="Так, повною мірою",2,IF(C5="Так, частково",1,IF(C5="Ні",0,""))))</f>
        <v/>
      </c>
      <c r="G5" s="1" t="str">
        <f t="shared" si="0"/>
        <v/>
      </c>
      <c r="H5" s="1" t="str">
        <f t="shared" si="0"/>
        <v/>
      </c>
      <c r="I5" t="s">
        <v>5</v>
      </c>
      <c r="J5" s="6" t="s">
        <v>130</v>
      </c>
      <c r="K5" s="17" t="s">
        <v>8</v>
      </c>
      <c r="L5" s="18">
        <f>COUNTIF(F3:F6,1)</f>
        <v>0</v>
      </c>
      <c r="M5" s="18">
        <f t="shared" ref="M5:N5" si="3">COUNTIF(G3:G6,1)</f>
        <v>0</v>
      </c>
      <c r="N5" s="18">
        <f t="shared" si="3"/>
        <v>0</v>
      </c>
    </row>
    <row r="6" spans="2:19" ht="21.6" customHeight="1" thickBot="1" x14ac:dyDescent="0.35">
      <c r="B6" s="9" t="s">
        <v>128</v>
      </c>
      <c r="C6" s="4"/>
      <c r="D6" s="12"/>
      <c r="E6" s="23"/>
      <c r="F6" s="1" t="str">
        <f t="shared" si="2"/>
        <v/>
      </c>
      <c r="G6" s="1" t="str">
        <f t="shared" si="0"/>
        <v/>
      </c>
      <c r="H6" s="1" t="str">
        <f t="shared" si="0"/>
        <v/>
      </c>
      <c r="J6" t="s">
        <v>5</v>
      </c>
      <c r="K6" s="19" t="s">
        <v>7</v>
      </c>
      <c r="L6" s="20">
        <f>COUNTIF(F3:F6,0)</f>
        <v>0</v>
      </c>
      <c r="M6" s="20">
        <f t="shared" ref="M6:N6" si="4">COUNTIF(G3:G6,0)</f>
        <v>0</v>
      </c>
      <c r="N6" s="20">
        <f t="shared" si="4"/>
        <v>0</v>
      </c>
    </row>
  </sheetData>
  <mergeCells count="1">
    <mergeCell ref="F2:S2"/>
  </mergeCells>
  <conditionalFormatting sqref="C3:E6">
    <cfRule type="containsText" dxfId="25" priority="1" operator="containsText" text="Так, повною мірою">
      <formula>NOT(ISERROR(SEARCH("Так, повною мірою",C3)))</formula>
    </cfRule>
    <cfRule type="containsText" dxfId="24" priority="2" operator="containsText" text="Так, частково">
      <formula>NOT(ISERROR(SEARCH("Так, частково",C3)))</formula>
    </cfRule>
    <cfRule type="containsText" dxfId="23" priority="3" operator="containsText" text="Ні">
      <formula>NOT(ISERROR(SEARCH("Ні",C3)))</formula>
    </cfRule>
    <cfRule type="containsText" dxfId="22" priority="8" operator="containsText" text="Наявні частково">
      <formula>NOT(ISERROR(SEARCH("Наявні частково",C3)))</formula>
    </cfRule>
    <cfRule type="containsText" dxfId="21" priority="11" operator="containsText" text="Наявні повною мірою">
      <formula>NOT(ISERROR(SEARCH("Наявні повною мірою",C3)))</formula>
    </cfRule>
    <cfRule type="containsText" dxfId="20" priority="12" operator="containsText" text="Зовсім немає">
      <formula>NOT(ISERROR(SEARCH("Зовсім немає",C3)))</formula>
    </cfRule>
  </conditionalFormatting>
  <conditionalFormatting sqref="C5:E6">
    <cfRule type="containsText" dxfId="19" priority="5" operator="containsText" text="Так">
      <formula>NOT(ISERROR(SEARCH("Так",C5)))</formula>
    </cfRule>
  </conditionalFormatting>
  <dataValidations count="1">
    <dataValidation type="list" allowBlank="1" showInputMessage="1" showErrorMessage="1" sqref="C3:E6" xr:uid="{4D510CAF-E84F-48C5-BCC8-C1A802AEB075}">
      <formula1>$J$4:$J$6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AF1ED-5EF9-4A25-8F47-B38AD6AEE5E6}">
  <dimension ref="B1:S9"/>
  <sheetViews>
    <sheetView zoomScale="80" zoomScaleNormal="80" workbookViewId="0">
      <selection activeCell="B14" sqref="B14"/>
    </sheetView>
  </sheetViews>
  <sheetFormatPr defaultRowHeight="14.4" x14ac:dyDescent="0.3"/>
  <cols>
    <col min="1" max="1" width="3" customWidth="1"/>
    <col min="2" max="2" width="87.44140625" customWidth="1"/>
    <col min="3" max="3" width="26.6640625" customWidth="1"/>
    <col min="4" max="4" width="26.33203125" customWidth="1"/>
    <col min="5" max="5" width="25.109375" customWidth="1"/>
    <col min="6" max="8" width="3.6640625" hidden="1" customWidth="1"/>
    <col min="10" max="10" width="18.5546875" bestFit="1" customWidth="1"/>
    <col min="11" max="11" width="11.33203125" customWidth="1"/>
    <col min="14" max="14" width="15.109375" customWidth="1"/>
  </cols>
  <sheetData>
    <row r="1" spans="2:19" ht="15" thickBot="1" x14ac:dyDescent="0.35"/>
    <row r="2" spans="2:19" ht="33" customHeight="1" thickBot="1" x14ac:dyDescent="0.35">
      <c r="B2" s="62" t="s">
        <v>146</v>
      </c>
      <c r="C2" s="64" t="str">
        <f>'1. Фізична доступність'!D2</f>
        <v>Оцінювання - ДАТА 1</v>
      </c>
      <c r="D2" s="64" t="str">
        <f>'1. Фізична доступність'!E2</f>
        <v>Оцінювання - ДАТА 2</v>
      </c>
      <c r="E2" s="64" t="str">
        <f>'1. Фізична доступність'!F2</f>
        <v>Оцінювання - ДАТА 3</v>
      </c>
      <c r="F2" s="114" t="s">
        <v>9</v>
      </c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6"/>
    </row>
    <row r="3" spans="2:19" ht="24.6" customHeight="1" thickBot="1" x14ac:dyDescent="0.35">
      <c r="B3" s="8" t="s">
        <v>131</v>
      </c>
      <c r="C3" s="2"/>
      <c r="D3" s="10"/>
      <c r="E3" s="21"/>
      <c r="F3" s="34" t="str">
        <f>IF(C3="","",IF(C3="Так",2,0))</f>
        <v/>
      </c>
      <c r="G3" s="34" t="str">
        <f t="shared" ref="G3:H9" si="0">IF(D3="","",IF(D3="Так",2,0))</f>
        <v/>
      </c>
      <c r="H3" s="34" t="str">
        <f t="shared" si="0"/>
        <v/>
      </c>
      <c r="K3" s="88" t="s">
        <v>109</v>
      </c>
      <c r="L3" s="89" t="str">
        <f>C2</f>
        <v>Оцінювання - ДАТА 1</v>
      </c>
      <c r="M3" s="89" t="str">
        <f t="shared" ref="M3:N3" si="1">D2</f>
        <v>Оцінювання - ДАТА 2</v>
      </c>
      <c r="N3" s="89" t="str">
        <f t="shared" si="1"/>
        <v>Оцінювання - ДАТА 3</v>
      </c>
    </row>
    <row r="4" spans="2:19" ht="22.95" customHeight="1" thickBot="1" x14ac:dyDescent="0.35">
      <c r="B4" s="7" t="s">
        <v>132</v>
      </c>
      <c r="C4" s="3"/>
      <c r="D4" s="11"/>
      <c r="E4" s="22"/>
      <c r="F4" s="1" t="str">
        <f t="shared" ref="F4:F9" si="2">IF(C4="","",IF(C4="Так",2,0))</f>
        <v/>
      </c>
      <c r="G4" s="1" t="str">
        <f t="shared" si="0"/>
        <v/>
      </c>
      <c r="H4" s="1" t="str">
        <f t="shared" si="0"/>
        <v/>
      </c>
      <c r="I4" t="s">
        <v>4</v>
      </c>
      <c r="J4" s="6" t="s">
        <v>118</v>
      </c>
      <c r="K4" s="15" t="s">
        <v>6</v>
      </c>
      <c r="L4" s="16">
        <f>COUNTIF(F3:F9,2)</f>
        <v>0</v>
      </c>
      <c r="M4" s="16">
        <f t="shared" ref="M4:N4" si="3">COUNTIF(G3:G9,2)</f>
        <v>0</v>
      </c>
      <c r="N4" s="16">
        <f t="shared" si="3"/>
        <v>0</v>
      </c>
    </row>
    <row r="5" spans="2:19" ht="19.95" customHeight="1" thickBot="1" x14ac:dyDescent="0.35">
      <c r="B5" s="7" t="s">
        <v>133</v>
      </c>
      <c r="C5" s="3"/>
      <c r="D5" s="11"/>
      <c r="E5" s="22"/>
      <c r="F5" s="1" t="str">
        <f t="shared" si="2"/>
        <v/>
      </c>
      <c r="G5" s="1" t="str">
        <f t="shared" si="0"/>
        <v/>
      </c>
      <c r="H5" s="1" t="str">
        <f t="shared" si="0"/>
        <v/>
      </c>
      <c r="I5" t="s">
        <v>5</v>
      </c>
      <c r="J5" s="6" t="s">
        <v>119</v>
      </c>
      <c r="K5" s="17" t="s">
        <v>8</v>
      </c>
      <c r="L5" s="18">
        <f>COUNTIF(F3:F9,1)</f>
        <v>0</v>
      </c>
      <c r="M5" s="18">
        <f t="shared" ref="M5:N5" si="4">COUNTIF(G3:G9,1)</f>
        <v>0</v>
      </c>
      <c r="N5" s="18">
        <f t="shared" si="4"/>
        <v>0</v>
      </c>
    </row>
    <row r="6" spans="2:19" ht="23.4" customHeight="1" thickBot="1" x14ac:dyDescent="0.35">
      <c r="B6" s="7" t="s">
        <v>134</v>
      </c>
      <c r="C6" s="3"/>
      <c r="D6" s="11"/>
      <c r="E6" s="22"/>
      <c r="F6" s="1" t="str">
        <f t="shared" si="2"/>
        <v/>
      </c>
      <c r="G6" s="1" t="str">
        <f t="shared" si="0"/>
        <v/>
      </c>
      <c r="H6" s="1" t="str">
        <f t="shared" si="0"/>
        <v/>
      </c>
      <c r="J6" t="s">
        <v>120</v>
      </c>
      <c r="K6" s="19" t="s">
        <v>7</v>
      </c>
      <c r="L6" s="20">
        <f>COUNTIF(F3:F9,0)</f>
        <v>0</v>
      </c>
      <c r="M6" s="20">
        <f t="shared" ref="M6:N6" si="5">COUNTIF(G3:G9,0)</f>
        <v>0</v>
      </c>
      <c r="N6" s="20">
        <f t="shared" si="5"/>
        <v>0</v>
      </c>
    </row>
    <row r="7" spans="2:19" ht="23.4" customHeight="1" x14ac:dyDescent="0.3">
      <c r="B7" s="7" t="s">
        <v>135</v>
      </c>
      <c r="C7" s="3"/>
      <c r="D7" s="11"/>
      <c r="E7" s="22"/>
      <c r="F7" s="1" t="str">
        <f t="shared" si="2"/>
        <v/>
      </c>
      <c r="G7" s="1" t="str">
        <f t="shared" si="0"/>
        <v/>
      </c>
      <c r="H7" s="1" t="str">
        <f t="shared" si="0"/>
        <v/>
      </c>
    </row>
    <row r="8" spans="2:19" ht="38.4" customHeight="1" x14ac:dyDescent="0.3">
      <c r="B8" s="7" t="s">
        <v>136</v>
      </c>
      <c r="C8" s="3"/>
      <c r="D8" s="11"/>
      <c r="E8" s="22"/>
      <c r="F8" s="1" t="str">
        <f t="shared" si="2"/>
        <v/>
      </c>
      <c r="G8" s="1" t="str">
        <f t="shared" si="0"/>
        <v/>
      </c>
      <c r="H8" s="1" t="str">
        <f t="shared" si="0"/>
        <v/>
      </c>
    </row>
    <row r="9" spans="2:19" ht="24" customHeight="1" thickBot="1" x14ac:dyDescent="0.35">
      <c r="B9" s="9" t="s">
        <v>137</v>
      </c>
      <c r="C9" s="4"/>
      <c r="D9" s="12"/>
      <c r="E9" s="23"/>
      <c r="F9" s="1" t="str">
        <f t="shared" si="2"/>
        <v/>
      </c>
      <c r="G9" s="1" t="str">
        <f t="shared" si="0"/>
        <v/>
      </c>
      <c r="H9" s="1" t="str">
        <f t="shared" si="0"/>
        <v/>
      </c>
    </row>
  </sheetData>
  <mergeCells count="1">
    <mergeCell ref="F2:S2"/>
  </mergeCells>
  <conditionalFormatting sqref="C3:E5">
    <cfRule type="containsText" dxfId="18" priority="5" operator="containsText" text="Наявні частково">
      <formula>NOT(ISERROR(SEARCH("Наявні частково",C3)))</formula>
    </cfRule>
  </conditionalFormatting>
  <conditionalFormatting sqref="C3:E9">
    <cfRule type="containsText" dxfId="17" priority="3" operator="containsText" text="Ні">
      <formula>NOT(ISERROR(SEARCH("Ні",C3)))</formula>
    </cfRule>
    <cfRule type="containsText" dxfId="16" priority="4" operator="containsText" text="Так">
      <formula>NOT(ISERROR(SEARCH("Так",C3)))</formula>
    </cfRule>
    <cfRule type="containsText" dxfId="15" priority="8" operator="containsText" text="Наявні повною мірою">
      <formula>NOT(ISERROR(SEARCH("Наявні повною мірою",C3)))</formula>
    </cfRule>
    <cfRule type="containsText" dxfId="14" priority="9" operator="containsText" text="Зовсім немає">
      <formula>NOT(ISERROR(SEARCH("Зовсім немає",C3)))</formula>
    </cfRule>
  </conditionalFormatting>
  <conditionalFormatting sqref="C5:E5">
    <cfRule type="containsText" dxfId="13" priority="1" operator="containsText" text="Ні">
      <formula>NOT(ISERROR(SEARCH("Ні",C5)))</formula>
    </cfRule>
    <cfRule type="containsText" dxfId="12" priority="2" operator="containsText" text="Так">
      <formula>NOT(ISERROR(SEARCH("Так",C5)))</formula>
    </cfRule>
  </conditionalFormatting>
  <dataValidations count="1">
    <dataValidation type="list" allowBlank="1" showInputMessage="1" showErrorMessage="1" sqref="C3:E9" xr:uid="{1DE1CE59-CE54-4D7B-91AE-BD76DF2B41A6}">
      <formula1>$I$4:$I$5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0E171-7F68-4F93-82E7-7929DEA77C61}">
  <dimension ref="B1:S7"/>
  <sheetViews>
    <sheetView zoomScale="70" zoomScaleNormal="70" workbookViewId="0">
      <selection activeCell="C6" sqref="C6"/>
    </sheetView>
  </sheetViews>
  <sheetFormatPr defaultRowHeight="14.4" x14ac:dyDescent="0.3"/>
  <cols>
    <col min="1" max="1" width="4.88671875" customWidth="1"/>
    <col min="2" max="2" width="87.44140625" customWidth="1"/>
    <col min="3" max="3" width="22.6640625" customWidth="1"/>
    <col min="4" max="4" width="23.109375" customWidth="1"/>
    <col min="5" max="5" width="24.88671875" customWidth="1"/>
    <col min="6" max="8" width="3.6640625" hidden="1" customWidth="1"/>
    <col min="10" max="10" width="18.5546875" bestFit="1" customWidth="1"/>
    <col min="11" max="11" width="11.33203125" customWidth="1"/>
    <col min="14" max="14" width="15.109375" customWidth="1"/>
  </cols>
  <sheetData>
    <row r="1" spans="2:19" ht="15" thickBot="1" x14ac:dyDescent="0.35"/>
    <row r="2" spans="2:19" ht="28.2" customHeight="1" thickBot="1" x14ac:dyDescent="0.35">
      <c r="B2" s="62" t="s">
        <v>146</v>
      </c>
      <c r="C2" s="63" t="str">
        <f>'1. Фізична доступність'!D2</f>
        <v>Оцінювання - ДАТА 1</v>
      </c>
      <c r="D2" s="63" t="str">
        <f>'1. Фізична доступність'!E2</f>
        <v>Оцінювання - ДАТА 2</v>
      </c>
      <c r="E2" s="63" t="str">
        <f>'1. Фізична доступність'!F2</f>
        <v>Оцінювання - ДАТА 3</v>
      </c>
      <c r="F2" s="114" t="s">
        <v>9</v>
      </c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6"/>
    </row>
    <row r="3" spans="2:19" ht="39.6" customHeight="1" thickBot="1" x14ac:dyDescent="0.35">
      <c r="B3" s="8" t="s">
        <v>138</v>
      </c>
      <c r="C3" s="2"/>
      <c r="D3" s="10"/>
      <c r="E3" s="21"/>
      <c r="F3" s="90" t="str">
        <f>IF(C3="","",IF(C3="Так",2,0))</f>
        <v/>
      </c>
      <c r="G3" s="90" t="str">
        <f t="shared" ref="G3:H5" si="0">IF(D3="","",IF(D3="Так",2,0))</f>
        <v/>
      </c>
      <c r="H3" s="90" t="str">
        <f t="shared" si="0"/>
        <v/>
      </c>
      <c r="K3" s="88" t="s">
        <v>109</v>
      </c>
      <c r="L3" s="89" t="str">
        <f>C2</f>
        <v>Оцінювання - ДАТА 1</v>
      </c>
      <c r="M3" s="89" t="str">
        <f t="shared" ref="M3:N3" si="1">D2</f>
        <v>Оцінювання - ДАТА 2</v>
      </c>
      <c r="N3" s="89" t="str">
        <f t="shared" si="1"/>
        <v>Оцінювання - ДАТА 3</v>
      </c>
    </row>
    <row r="4" spans="2:19" ht="37.950000000000003" customHeight="1" thickBot="1" x14ac:dyDescent="0.35">
      <c r="B4" s="7" t="s">
        <v>139</v>
      </c>
      <c r="C4" s="3"/>
      <c r="D4" s="11"/>
      <c r="E4" s="22"/>
      <c r="F4" s="5" t="str">
        <f t="shared" ref="F4:F5" si="2">IF(C4="","",IF(C4="Так",2,0))</f>
        <v/>
      </c>
      <c r="G4" s="5" t="str">
        <f t="shared" si="0"/>
        <v/>
      </c>
      <c r="H4" s="5" t="str">
        <f t="shared" si="0"/>
        <v/>
      </c>
      <c r="I4" t="s">
        <v>4</v>
      </c>
      <c r="J4" s="6" t="s">
        <v>129</v>
      </c>
      <c r="K4" s="15" t="s">
        <v>6</v>
      </c>
      <c r="L4" s="16">
        <f>COUNTIF(F3:F7,2)</f>
        <v>0</v>
      </c>
      <c r="M4" s="16">
        <f t="shared" ref="M4:N4" si="3">COUNTIF(G3:G7,2)</f>
        <v>0</v>
      </c>
      <c r="N4" s="16">
        <f t="shared" si="3"/>
        <v>0</v>
      </c>
    </row>
    <row r="5" spans="2:19" ht="29.4" thickBot="1" x14ac:dyDescent="0.35">
      <c r="B5" s="7" t="s">
        <v>140</v>
      </c>
      <c r="C5" s="3"/>
      <c r="D5" s="11"/>
      <c r="E5" s="22"/>
      <c r="F5" s="5" t="str">
        <f t="shared" si="2"/>
        <v/>
      </c>
      <c r="G5" s="5" t="str">
        <f t="shared" si="0"/>
        <v/>
      </c>
      <c r="H5" s="5" t="str">
        <f t="shared" si="0"/>
        <v/>
      </c>
      <c r="I5" t="s">
        <v>5</v>
      </c>
      <c r="J5" s="6" t="s">
        <v>130</v>
      </c>
      <c r="K5" s="17" t="s">
        <v>8</v>
      </c>
      <c r="L5" s="18">
        <f>COUNTIF(F3:F7,1)</f>
        <v>0</v>
      </c>
      <c r="M5" s="18">
        <f t="shared" ref="M5:N5" si="4">COUNTIF(G3:G7,1)</f>
        <v>0</v>
      </c>
      <c r="N5" s="18">
        <f t="shared" si="4"/>
        <v>0</v>
      </c>
    </row>
    <row r="6" spans="2:19" ht="31.2" customHeight="1" thickBot="1" x14ac:dyDescent="0.35">
      <c r="B6" s="7" t="s">
        <v>141</v>
      </c>
      <c r="C6" s="3"/>
      <c r="D6" s="11"/>
      <c r="E6" s="22"/>
      <c r="F6" s="1" t="str">
        <f>IF(C6="","",IF(C6="Так, повною мірою",2,IF(C6="Так, частково",1,IF(C6="Ні",0,""))))</f>
        <v/>
      </c>
      <c r="G6" s="1" t="str">
        <f t="shared" ref="G6:H7" si="5">IF(D6="","",IF(D6="Так, повною мірою",2,IF(D6="Так, частково",1,IF(D6="Ні",0,""))))</f>
        <v/>
      </c>
      <c r="H6" s="1" t="str">
        <f t="shared" si="5"/>
        <v/>
      </c>
      <c r="J6" t="s">
        <v>5</v>
      </c>
      <c r="K6" s="19" t="s">
        <v>7</v>
      </c>
      <c r="L6" s="20">
        <f>COUNTIF(F3:F7,0)</f>
        <v>0</v>
      </c>
      <c r="M6" s="20">
        <f t="shared" ref="M6:N6" si="6">COUNTIF(G3:G7,0)</f>
        <v>0</v>
      </c>
      <c r="N6" s="20">
        <f t="shared" si="6"/>
        <v>0</v>
      </c>
    </row>
    <row r="7" spans="2:19" ht="43.8" thickBot="1" x14ac:dyDescent="0.35">
      <c r="B7" s="9" t="s">
        <v>142</v>
      </c>
      <c r="C7" s="4"/>
      <c r="D7" s="12"/>
      <c r="E7" s="23"/>
      <c r="F7" s="1" t="str">
        <f>IF(C7="","",IF(C7="Так, повною мірою",2,IF(C7="Так, частково",1,IF(C7="Ні",0,""))))</f>
        <v/>
      </c>
      <c r="G7" s="1" t="str">
        <f t="shared" si="5"/>
        <v/>
      </c>
      <c r="H7" s="1" t="str">
        <f t="shared" si="5"/>
        <v/>
      </c>
    </row>
  </sheetData>
  <mergeCells count="1">
    <mergeCell ref="F2:S2"/>
  </mergeCells>
  <conditionalFormatting sqref="C3:E5">
    <cfRule type="containsText" dxfId="11" priority="19" operator="containsText" text="Ні">
      <formula>NOT(ISERROR(SEARCH("Ні",C3)))</formula>
    </cfRule>
    <cfRule type="containsText" dxfId="10" priority="20" operator="containsText" text="Так">
      <formula>NOT(ISERROR(SEARCH("Так",C3)))</formula>
    </cfRule>
    <cfRule type="containsText" dxfId="9" priority="21" operator="containsText" text="Наявні частково">
      <formula>NOT(ISERROR(SEARCH("Наявні частково",C3)))</formula>
    </cfRule>
    <cfRule type="containsText" dxfId="8" priority="24" operator="containsText" text="Наявні повною мірою">
      <formula>NOT(ISERROR(SEARCH("Наявні повною мірою",C3)))</formula>
    </cfRule>
    <cfRule type="containsText" dxfId="7" priority="25" operator="containsText" text="Зовсім немає">
      <formula>NOT(ISERROR(SEARCH("Зовсім немає",C3)))</formula>
    </cfRule>
  </conditionalFormatting>
  <conditionalFormatting sqref="C5:E7">
    <cfRule type="containsText" dxfId="6" priority="3" operator="containsText" text="Ні">
      <formula>NOT(ISERROR(SEARCH("Ні",C5)))</formula>
    </cfRule>
    <cfRule type="containsText" dxfId="5" priority="5" operator="containsText" text="Так">
      <formula>NOT(ISERROR(SEARCH("Так",C5)))</formula>
    </cfRule>
  </conditionalFormatting>
  <conditionalFormatting sqref="C6:E7">
    <cfRule type="containsText" dxfId="4" priority="1" operator="containsText" text="Так, повною мірою">
      <formula>NOT(ISERROR(SEARCH("Так, повною мірою",C6)))</formula>
    </cfRule>
    <cfRule type="containsText" dxfId="3" priority="2" operator="containsText" text="Так, частково">
      <formula>NOT(ISERROR(SEARCH("Так, частково",C6)))</formula>
    </cfRule>
    <cfRule type="containsText" dxfId="2" priority="6" operator="containsText" text="Наявні частково">
      <formula>NOT(ISERROR(SEARCH("Наявні частково",C6)))</formula>
    </cfRule>
    <cfRule type="containsText" dxfId="1" priority="7" operator="containsText" text="Наявні повною мірою">
      <formula>NOT(ISERROR(SEARCH("Наявні повною мірою",C6)))</formula>
    </cfRule>
    <cfRule type="containsText" dxfId="0" priority="8" operator="containsText" text="Зовсім немає">
      <formula>NOT(ISERROR(SEARCH("Зовсім немає",C6)))</formula>
    </cfRule>
  </conditionalFormatting>
  <dataValidations count="2">
    <dataValidation type="list" allowBlank="1" showInputMessage="1" showErrorMessage="1" sqref="C3:E5" xr:uid="{43145FBD-F140-460B-A643-D001E3A0100E}">
      <formula1>$I$4:$I$5</formula1>
    </dataValidation>
    <dataValidation type="list" allowBlank="1" showInputMessage="1" showErrorMessage="1" sqref="C6:E7" xr:uid="{7FCD3844-15AE-4864-A963-404BB4B20F72}">
      <formula1>$J$4:$J$6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B5499-F228-4689-9C6E-12215087DC01}">
  <dimension ref="B1:L9"/>
  <sheetViews>
    <sheetView zoomScale="85" zoomScaleNormal="85" workbookViewId="0">
      <selection activeCell="P12" sqref="P12"/>
    </sheetView>
  </sheetViews>
  <sheetFormatPr defaultRowHeight="14.4" x14ac:dyDescent="0.3"/>
  <cols>
    <col min="1" max="1" width="4.88671875" customWidth="1"/>
    <col min="2" max="2" width="18.5546875" bestFit="1" customWidth="1"/>
    <col min="3" max="5" width="20.44140625" bestFit="1" customWidth="1"/>
  </cols>
  <sheetData>
    <row r="1" spans="2:12" ht="15" thickBot="1" x14ac:dyDescent="0.35"/>
    <row r="2" spans="2:12" ht="25.2" customHeight="1" thickBot="1" x14ac:dyDescent="0.35">
      <c r="B2" s="117" t="s">
        <v>153</v>
      </c>
      <c r="C2" s="118"/>
      <c r="D2" s="118"/>
      <c r="E2" s="118"/>
      <c r="F2" s="118"/>
      <c r="G2" s="118"/>
      <c r="H2" s="118"/>
      <c r="I2" s="118"/>
      <c r="J2" s="118"/>
      <c r="K2" s="118"/>
      <c r="L2" s="119"/>
    </row>
    <row r="5" spans="2:12" ht="15" thickBot="1" x14ac:dyDescent="0.35"/>
    <row r="6" spans="2:12" ht="15" thickBot="1" x14ac:dyDescent="0.35">
      <c r="B6" s="13" t="s">
        <v>109</v>
      </c>
      <c r="C6" s="14" t="str">
        <f>'1. Фізична доступність'!D2</f>
        <v>Оцінювання - ДАТА 1</v>
      </c>
      <c r="D6" s="14" t="str">
        <f>'1. Фізична доступність'!E2</f>
        <v>Оцінювання - ДАТА 2</v>
      </c>
      <c r="E6" s="14" t="str">
        <f>'1. Фізична доступність'!F2</f>
        <v>Оцінювання - ДАТА 3</v>
      </c>
    </row>
    <row r="7" spans="2:12" ht="15" thickBot="1" x14ac:dyDescent="0.35">
      <c r="B7" s="15" t="s">
        <v>6</v>
      </c>
      <c r="C7" s="16">
        <f>SUM('1. Фізична доступність'!D91+'2. Доступність навч. матеріалів'!L4+'3. Інклюзивні методи навчання'!L4+'4. Комунікаційна доступність'!L4+'5. Адм. підтримка, політики'!L4+'6. Соціальна інклюзія'!L4)</f>
        <v>0</v>
      </c>
      <c r="D7" s="16">
        <f>SUM('1. Фізична доступність'!E91+'2. Доступність навч. матеріалів'!M4+'3. Інклюзивні методи навчання'!M4+'4. Комунікаційна доступність'!M4+'5. Адм. підтримка, політики'!M4+'6. Соціальна інклюзія'!M4)</f>
        <v>0</v>
      </c>
      <c r="E7" s="16">
        <f>SUM('1. Фізична доступність'!F91+'2. Доступність навч. матеріалів'!N4+'3. Інклюзивні методи навчання'!N4+'4. Комунікаційна доступність'!N4+'5. Адм. підтримка, політики'!N4+'6. Соціальна інклюзія'!N4)</f>
        <v>0</v>
      </c>
    </row>
    <row r="8" spans="2:12" ht="15" thickBot="1" x14ac:dyDescent="0.35">
      <c r="B8" s="17" t="s">
        <v>8</v>
      </c>
      <c r="C8" s="16">
        <f>SUM('1. Фізична доступність'!D92+'2. Доступність навч. матеріалів'!L5+'3. Інклюзивні методи навчання'!L5+'4. Комунікаційна доступність'!L5+'5. Адм. підтримка, політики'!L5+'6. Соціальна інклюзія'!L5)</f>
        <v>0</v>
      </c>
      <c r="D8" s="16">
        <f>SUM('1. Фізична доступність'!E92+'2. Доступність навч. матеріалів'!M5+'3. Інклюзивні методи навчання'!M5+'4. Комунікаційна доступність'!M5+'5. Адм. підтримка, політики'!M5+'6. Соціальна інклюзія'!M5)</f>
        <v>0</v>
      </c>
      <c r="E8" s="16">
        <f>SUM('1. Фізична доступність'!F92+'2. Доступність навч. матеріалів'!N5+'3. Інклюзивні методи навчання'!N5+'4. Комунікаційна доступність'!N5+'5. Адм. підтримка, політики'!N5+'6. Соціальна інклюзія'!N5)</f>
        <v>0</v>
      </c>
    </row>
    <row r="9" spans="2:12" ht="15" thickBot="1" x14ac:dyDescent="0.35">
      <c r="B9" s="19" t="s">
        <v>7</v>
      </c>
      <c r="C9" s="16">
        <f>SUM('1. Фізична доступність'!D93+'2. Доступність навч. матеріалів'!L6+'3. Інклюзивні методи навчання'!L6+'4. Комунікаційна доступність'!L6+'5. Адм. підтримка, політики'!L6+'6. Соціальна інклюзія'!L6)</f>
        <v>0</v>
      </c>
      <c r="D9" s="16">
        <f>SUM('1. Фізична доступність'!E93+'2. Доступність навч. матеріалів'!M6+'3. Інклюзивні методи навчання'!M6+'4. Комунікаційна доступність'!M6+'5. Адм. підтримка, політики'!M6+'6. Соціальна інклюзія'!M6)</f>
        <v>0</v>
      </c>
      <c r="E9" s="16">
        <f>SUM('1. Фізична доступність'!F93+'2. Доступність навч. матеріалів'!N6+'3. Інклюзивні методи навчання'!N6+'4. Комунікаційна доступність'!N6+'5. Адм. підтримка, політики'!N6+'6. Соціальна інклюзія'!N6)</f>
        <v>0</v>
      </c>
    </row>
  </sheetData>
  <mergeCells count="1">
    <mergeCell ref="B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7</vt:i4>
      </vt:variant>
    </vt:vector>
  </HeadingPairs>
  <TitlesOfParts>
    <vt:vector size="7" baseType="lpstr">
      <vt:lpstr>1. Фізична доступність</vt:lpstr>
      <vt:lpstr>2. Доступність навч. матеріалів</vt:lpstr>
      <vt:lpstr>3. Інклюзивні методи навчання</vt:lpstr>
      <vt:lpstr>4. Комунікаційна доступність</vt:lpstr>
      <vt:lpstr>5. Адм. підтримка, політики</vt:lpstr>
      <vt:lpstr>6. Соціальна інклюзія</vt:lpstr>
      <vt:lpstr>Загальний результат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Katalina Semirnenko</dc:creator>
  <cp:lastModifiedBy>Katalina Semirnenko</cp:lastModifiedBy>
  <dcterms:created xsi:type="dcterms:W3CDTF">2026-01-28T22:33:36Z</dcterms:created>
  <dcterms:modified xsi:type="dcterms:W3CDTF">2026-03-27T12:22:24Z</dcterms:modified>
</cp:coreProperties>
</file>